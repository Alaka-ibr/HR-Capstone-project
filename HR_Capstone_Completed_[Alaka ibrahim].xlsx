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CFD50A06-3E1A-4FDC-B001-BDFE7BDA60D7}" xr6:coauthVersionLast="47" xr6:coauthVersionMax="47" xr10:uidLastSave="{00000000-0000-0000-0000-000000000000}"/>
  <bookViews>
    <workbookView xWindow="-108" yWindow="-108" windowWidth="23256" windowHeight="12456" xr2:uid="{00000000-000D-0000-FFFF-FFFF00000000}"/>
  </bookViews>
  <sheets>
    <sheet name="Analysis" sheetId="5" r:id="rId1"/>
    <sheet name="HR DASHBOARD" sheetId="6" r:id="rId2"/>
    <sheet name="Raw_Employee_Data" sheetId="1" r:id="rId3"/>
    <sheet name="Lookup_Departments" sheetId="2" r:id="rId4"/>
    <sheet name="Lookup_Performance" sheetId="3" r:id="rId5"/>
  </sheets>
  <definedNames>
    <definedName name="Slicer_Departemant_Name">#N/A</definedName>
    <definedName name="Slicer_Employment_status">#N/A</definedName>
    <definedName name="Slicer_Performance_band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2" i="1"/>
  <c r="L4" i="1"/>
  <c r="L5" i="1"/>
  <c r="L6" i="1"/>
  <c r="L7" i="1"/>
  <c r="L8" i="1"/>
  <c r="L9" i="1"/>
  <c r="L10" i="1"/>
  <c r="L11" i="1"/>
  <c r="L12" i="1"/>
  <c r="L13" i="1"/>
  <c r="L14" i="1"/>
  <c r="L15"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2" i="1"/>
  <c r="L53" i="1"/>
  <c r="L54" i="1"/>
  <c r="L55" i="1"/>
  <c r="L56" i="1"/>
  <c r="L57" i="1"/>
  <c r="L58" i="1"/>
  <c r="L59" i="1"/>
  <c r="L60" i="1"/>
  <c r="L61" i="1"/>
  <c r="L62" i="1"/>
  <c r="L63" i="1"/>
  <c r="L64" i="1"/>
  <c r="L65" i="1"/>
  <c r="L66" i="1"/>
  <c r="L67" i="1"/>
  <c r="L69" i="1"/>
  <c r="L70" i="1"/>
  <c r="L71" i="1"/>
  <c r="L72" i="1"/>
  <c r="L73" i="1"/>
  <c r="L74" i="1"/>
  <c r="L75" i="1"/>
  <c r="L76" i="1"/>
  <c r="L77" i="1"/>
  <c r="L78" i="1"/>
  <c r="L79" i="1"/>
  <c r="L80" i="1"/>
  <c r="L82" i="1"/>
  <c r="L83" i="1"/>
  <c r="L84" i="1"/>
  <c r="L85" i="1"/>
  <c r="L86" i="1"/>
  <c r="L87" i="1"/>
  <c r="L88" i="1"/>
  <c r="L89" i="1"/>
  <c r="L90" i="1"/>
  <c r="L91" i="1"/>
  <c r="L92" i="1"/>
  <c r="L93" i="1"/>
  <c r="L94" i="1"/>
  <c r="L95" i="1"/>
  <c r="L96" i="1"/>
  <c r="L97" i="1"/>
  <c r="L98" i="1"/>
  <c r="L99" i="1"/>
  <c r="L100" i="1"/>
  <c r="L101" i="1"/>
  <c r="L102" i="1"/>
  <c r="L103" i="1"/>
  <c r="L104" i="1"/>
  <c r="L105"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3" i="1"/>
  <c r="I154" i="1"/>
  <c r="I155" i="1"/>
  <c r="I2" i="1"/>
  <c r="F4" i="6"/>
  <c r="I4" i="6"/>
  <c r="D4" i="6"/>
  <c r="A4" i="6"/>
  <c r="L51" i="1" l="1"/>
  <c r="L106" i="1"/>
  <c r="L3" i="1"/>
  <c r="L81" i="1" l="1"/>
  <c r="L68" i="1"/>
  <c r="L16" i="1"/>
</calcChain>
</file>

<file path=xl/sharedStrings.xml><?xml version="1.0" encoding="utf-8"?>
<sst xmlns="http://schemas.openxmlformats.org/spreadsheetml/2006/main" count="836" uniqueCount="242">
  <si>
    <t>Emp ID</t>
  </si>
  <si>
    <t>First_Name</t>
  </si>
  <si>
    <t>Last_Name</t>
  </si>
  <si>
    <t>Hire Date</t>
  </si>
  <si>
    <t>EMP127</t>
  </si>
  <si>
    <t>Emily</t>
  </si>
  <si>
    <t>Brown</t>
  </si>
  <si>
    <t>IT02</t>
  </si>
  <si>
    <t>EMP046</t>
  </si>
  <si>
    <t>Richard</t>
  </si>
  <si>
    <t>Hernandez</t>
  </si>
  <si>
    <t>MKT04</t>
  </si>
  <si>
    <t>EMP134</t>
  </si>
  <si>
    <t>Gonzalez</t>
  </si>
  <si>
    <t>EMP139</t>
  </si>
  <si>
    <t>John</t>
  </si>
  <si>
    <t>Martinez</t>
  </si>
  <si>
    <t>FIN03</t>
  </si>
  <si>
    <t>EMP112</t>
  </si>
  <si>
    <t>Thomas</t>
  </si>
  <si>
    <t>Smith</t>
  </si>
  <si>
    <t>Left</t>
  </si>
  <si>
    <t>EMP030</t>
  </si>
  <si>
    <t>Johnson</t>
  </si>
  <si>
    <t>OPS06</t>
  </si>
  <si>
    <t>EMP096</t>
  </si>
  <si>
    <t>Wilson</t>
  </si>
  <si>
    <t>EMP098</t>
  </si>
  <si>
    <t>Jessica</t>
  </si>
  <si>
    <t>EMP095</t>
  </si>
  <si>
    <t>Rodriguez</t>
  </si>
  <si>
    <t>EMP140</t>
  </si>
  <si>
    <t>Michael</t>
  </si>
  <si>
    <t>SAL05</t>
  </si>
  <si>
    <t>Active</t>
  </si>
  <si>
    <t>EMP020</t>
  </si>
  <si>
    <t>Miller</t>
  </si>
  <si>
    <t>EMP057</t>
  </si>
  <si>
    <t>EMP016</t>
  </si>
  <si>
    <t>Jane</t>
  </si>
  <si>
    <t>Williams</t>
  </si>
  <si>
    <t>EMP070</t>
  </si>
  <si>
    <t>EMP025</t>
  </si>
  <si>
    <t>Robert</t>
  </si>
  <si>
    <t>Jones</t>
  </si>
  <si>
    <t>EMP031</t>
  </si>
  <si>
    <t>EMP126</t>
  </si>
  <si>
    <t>Davis</t>
  </si>
  <si>
    <t>EMP109</t>
  </si>
  <si>
    <t>James</t>
  </si>
  <si>
    <t>EMP066</t>
  </si>
  <si>
    <t>Ashley</t>
  </si>
  <si>
    <t>Lopez</t>
  </si>
  <si>
    <t>EMP120</t>
  </si>
  <si>
    <t>Amanda</t>
  </si>
  <si>
    <t>EMP019</t>
  </si>
  <si>
    <t>EMP013</t>
  </si>
  <si>
    <t>EMP010</t>
  </si>
  <si>
    <t>EMP032</t>
  </si>
  <si>
    <t>EMP082</t>
  </si>
  <si>
    <t>EMP052</t>
  </si>
  <si>
    <t>EMP129</t>
  </si>
  <si>
    <t>EMP146</t>
  </si>
  <si>
    <t>EMP099</t>
  </si>
  <si>
    <t>EMP015</t>
  </si>
  <si>
    <t>EMP076</t>
  </si>
  <si>
    <t>EMP137</t>
  </si>
  <si>
    <t>EMP056</t>
  </si>
  <si>
    <t>Sarah</t>
  </si>
  <si>
    <t>EMP125</t>
  </si>
  <si>
    <t>HR01</t>
  </si>
  <si>
    <t>EMP085</t>
  </si>
  <si>
    <t>EMP106</t>
  </si>
  <si>
    <t>EMP043</t>
  </si>
  <si>
    <t>EMP068</t>
  </si>
  <si>
    <t>Melissa</t>
  </si>
  <si>
    <t>EMP128</t>
  </si>
  <si>
    <t>EMP027</t>
  </si>
  <si>
    <t>EMP136</t>
  </si>
  <si>
    <t>EMP079</t>
  </si>
  <si>
    <t>David</t>
  </si>
  <si>
    <t>EMP149</t>
  </si>
  <si>
    <t>Resigned</t>
  </si>
  <si>
    <t>EMP037</t>
  </si>
  <si>
    <t>EMP077</t>
  </si>
  <si>
    <t>EMP023</t>
  </si>
  <si>
    <t>EMP133</t>
  </si>
  <si>
    <t>EMP141</t>
  </si>
  <si>
    <t>EMP012</t>
  </si>
  <si>
    <t>EMP080</t>
  </si>
  <si>
    <t>EMP069</t>
  </si>
  <si>
    <t>EMP150</t>
  </si>
  <si>
    <t>EMP028</t>
  </si>
  <si>
    <t>EMP087</t>
  </si>
  <si>
    <t>EMP119</t>
  </si>
  <si>
    <t>Garcia</t>
  </si>
  <si>
    <t>EMP042</t>
  </si>
  <si>
    <t>Anderson</t>
  </si>
  <si>
    <t>EMP005</t>
  </si>
  <si>
    <t>EMP033</t>
  </si>
  <si>
    <t>EMP061</t>
  </si>
  <si>
    <t>EMP102</t>
  </si>
  <si>
    <t>EMP067</t>
  </si>
  <si>
    <t>EMP017</t>
  </si>
  <si>
    <t>EMP123</t>
  </si>
  <si>
    <t>EMP011</t>
  </si>
  <si>
    <t>EMP091</t>
  </si>
  <si>
    <t>EMP145</t>
  </si>
  <si>
    <t>EMP001</t>
  </si>
  <si>
    <t>EMP113</t>
  </si>
  <si>
    <t>EMP065</t>
  </si>
  <si>
    <t>EMP045</t>
  </si>
  <si>
    <t>EMP083</t>
  </si>
  <si>
    <t>William</t>
  </si>
  <si>
    <t>EMP029</t>
  </si>
  <si>
    <t>EMP041</t>
  </si>
  <si>
    <t>EMP026</t>
  </si>
  <si>
    <t>EMP024</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</si>
  <si>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</si>
  <si>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</si>
  <si>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</si>
  <si>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</si>
  <si>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</si>
  <si>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</si>
  <si>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</si>
  <si>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</si>
  <si>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</si>
  <si>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</si>
  <si>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</si>
  <si>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</si>
  <si>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</si>
  <si>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</si>
  <si>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</si>
  <si>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</si>
  <si>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</si>
  <si>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</si>
  <si>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</si>
  <si>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</si>
  <si>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</si>
  <si>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</si>
  <si>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</si>
  <si>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</si>
  <si>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</si>
  <si>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</si>
  <si>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</si>
  <si>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</si>
  <si>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</si>
  <si>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</si>
  <si>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</si>
  <si>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</si>
  <si>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</si>
  <si>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</si>
  <si>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</si>
  <si>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</si>
  <si>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</si>
  <si>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</si>
  <si>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</si>
  <si>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</si>
  <si>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</si>
  <si>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</si>
  <si>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</si>
  <si>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</si>
  <si>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</si>
  <si>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</si>
  <si>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</si>
  <si>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</si>
  <si>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</si>
  <si>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</si>
  <si>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</si>
  <si>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</si>
  <si>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</si>
  <si>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</si>
  <si>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</si>
  <si>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</si>
  <si>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</si>
  <si>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</si>
  <si>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</si>
  <si>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</si>
  <si>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</si>
  <si>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</si>
  <si>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</si>
  <si>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</si>
  <si>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</si>
  <si>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</si>
  <si>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</si>
  <si>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</si>
  <si>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</si>
  <si>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</si>
  <si>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</si>
  <si>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</si>
  <si>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</si>
  <si>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</si>
  <si>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</si>
  <si>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</si>
  <si>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</si>
  <si>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</si>
  <si>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</si>
  <si>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</si>
  <si>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</si>
  <si>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</si>
  <si>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</si>
  <si>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</si>
  <si>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</si>
  <si>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</si>
  <si>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</si>
  <si>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</si>
  <si>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</si>
  <si>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</si>
  <si>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</si>
  <si>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</si>
  <si>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Dept code</t>
  </si>
  <si>
    <t>Employment status</t>
  </si>
  <si>
    <t>unknown</t>
  </si>
  <si>
    <t>Full name</t>
  </si>
  <si>
    <t>Departemant Name</t>
  </si>
  <si>
    <t>year of service</t>
  </si>
  <si>
    <t>Performance band</t>
  </si>
  <si>
    <t>Elegible bonus amount</t>
  </si>
  <si>
    <t>pref score</t>
  </si>
  <si>
    <t>Salary</t>
  </si>
  <si>
    <t>Count of Emp ID</t>
  </si>
  <si>
    <t>Average of Salary</t>
  </si>
  <si>
    <t>Department</t>
  </si>
  <si>
    <t>Headcount</t>
  </si>
  <si>
    <r>
      <t xml:space="preserve"> </t>
    </r>
    <r>
      <rPr>
        <b/>
        <sz val="11"/>
        <color theme="1"/>
        <rFont val="Calibri"/>
        <family val="2"/>
        <scheme val="minor"/>
      </rPr>
      <t>Headcount &amp; Average Salary by Department</t>
    </r>
  </si>
  <si>
    <t>Column Labels</t>
  </si>
  <si>
    <t>Average Performance Score by Employment Status</t>
  </si>
  <si>
    <t>Status</t>
  </si>
  <si>
    <t>Average  pref score</t>
  </si>
  <si>
    <t xml:space="preserve"> Total Projected Bonus Payout by Performance Band</t>
  </si>
  <si>
    <t>performance brand</t>
  </si>
  <si>
    <t xml:space="preserve"> bonus amount payout</t>
  </si>
  <si>
    <t>HR ANALYTICS DASHBOARD</t>
  </si>
  <si>
    <t>TOTAL EMPLOYEES</t>
  </si>
  <si>
    <t>AVERAGE SALARY</t>
  </si>
  <si>
    <t>OVERALL ATTRITION RATE</t>
  </si>
  <si>
    <t>AVG PERFORMANCE SCORE</t>
  </si>
  <si>
    <t>Attrition rate by Department</t>
  </si>
  <si>
    <t>Total</t>
  </si>
  <si>
    <t xml:space="preserve"> Total</t>
  </si>
  <si>
    <t>Overall</t>
  </si>
  <si>
    <t>Average of pref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</si>
</sst>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_(* #,##0_);_(* \(#,##0\);_(* &quot;-&quot;??_);_(@_)"/>
    <numFmt numFmtId="165" formatCode="\$#,##0"/>
    <numFmt numFmtId="166" formatCode="_(&quot;$&quot;* #,##0_);_(&quot;$&quot;* \(#,##0\);_(&quot;$&quot;* &quot;-&quot;??_);_(@_)"/>
    <numFmt numFmtId="167" formatCode="&quot;$&quot;#,##0;[Red]&quot;$&quot;#,##0"/>
    <numFmt numFmtId="168" formatCode="&quot;$&quot;#,##0.00"/>
    <numFmt numFmtId="169" formatCode="&quot;$&quot;#,##0.0_);\(&quot;$&quot;#,##0.0\)"/>
    <numFmt numFmtId="170" formatCode="&quot;$&quot;#,##0"/>
    <numFmt numFmtId="171" formatCode="0.0"/>
  </numFmts>
  <fonts count="9">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sz val="10"/>
      <name val="Arial"/>
      <family val="2"/>
    </font>
    <font>
      <b/>
      <sz val="20"/>
      <color theme="1"/>
      <name val="Arial Unicode MS"/>
    </font>
    <font>
      <b/>
      <sz val="12"/>
      <color theme="1"/>
      <name val="Calibri"/>
      <family val="2"/>
      <scheme val="minor"/>
    </font>
    <font>
      <b/>
      <sz val="14"/>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rgb="FF0070C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s>
  <cellStyleXfs count="4">
    <xf numFmtId="0" fontId="0"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3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44" fontId="0" fillId="0" borderId="0" xfId="1" applyFont="1"/>
    <xf numFmtId="14" fontId="0" fillId="0" borderId="0" xfId="0" applyNumberFormat="1"/>
    <xf numFmtId="14" fontId="1" fillId="0" borderId="2" xfId="0" applyNumberFormat="1" applyFont="1" applyBorder="1" applyAlignment="1">
      <alignment horizontal="center" vertical="top"/>
    </xf>
    <xf numFmtId="164" fontId="1" fillId="0" borderId="2" xfId="2" applyNumberFormat="1" applyFont="1" applyBorder="1" applyAlignment="1">
      <alignment horizontal="center" vertical="top"/>
    </xf>
    <xf numFmtId="164" fontId="0" fillId="0" borderId="0" xfId="2" applyNumberFormat="1" applyFont="1"/>
    <xf numFmtId="0" fontId="4" fillId="0" borderId="3" xfId="0" applyFont="1" applyBorder="1"/>
    <xf numFmtId="165" fontId="4" fillId="0" borderId="3" xfId="0" applyNumberFormat="1" applyFont="1" applyBorder="1"/>
    <xf numFmtId="165" fontId="4" fillId="0" borderId="4" xfId="0" applyNumberFormat="1" applyFont="1" applyBorder="1"/>
    <xf numFmtId="167" fontId="0" fillId="0" borderId="0" xfId="1" applyNumberFormat="1" applyFon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170" fontId="0" fillId="0" borderId="0" xfId="0" applyNumberFormat="1"/>
    <xf numFmtId="171" fontId="0" fillId="0" borderId="0" xfId="0" applyNumberFormat="1"/>
    <xf numFmtId="0" fontId="3" fillId="0" borderId="0" xfId="0" applyFont="1"/>
    <xf numFmtId="9" fontId="0" fillId="0" borderId="0" xfId="0" applyNumberFormat="1"/>
    <xf numFmtId="0" fontId="5" fillId="0" borderId="0" xfId="0" applyFont="1"/>
    <xf numFmtId="0" fontId="0" fillId="2" borderId="0" xfId="0" applyFill="1"/>
    <xf numFmtId="0" fontId="3" fillId="2" borderId="0" xfId="0" applyFont="1" applyFill="1"/>
    <xf numFmtId="0" fontId="7" fillId="2" borderId="0" xfId="0" applyFont="1" applyFill="1"/>
    <xf numFmtId="0" fontId="6" fillId="2" borderId="0" xfId="0" applyFont="1" applyFill="1"/>
    <xf numFmtId="0" fontId="8" fillId="2" borderId="0" xfId="0" applyFont="1" applyFill="1"/>
    <xf numFmtId="166" fontId="8" fillId="2" borderId="0" xfId="1" applyNumberFormat="1" applyFont="1" applyFill="1"/>
    <xf numFmtId="9" fontId="8" fillId="2" borderId="0" xfId="3" applyFont="1" applyFill="1"/>
    <xf numFmtId="171" fontId="8" fillId="2" borderId="0" xfId="0" applyNumberFormat="1" applyFont="1" applyFill="1"/>
    <xf numFmtId="0" fontId="8" fillId="0" borderId="0" xfId="0" applyFont="1"/>
    <xf numFmtId="0" fontId="0" fillId="0" borderId="0" xfId="0" applyNumberFormat="1"/>
    <xf numFmtId="166" fontId="0" fillId="0" borderId="0" xfId="0" applyNumberFormat="1"/>
    <xf numFmtId="1" fontId="0" fillId="0" borderId="0" xfId="0" applyNumberFormat="1"/>
  </cellXfs>
  <cellStyles count="4">
    <cellStyle name="Comma" xfId="2" builtinId="3"/>
    <cellStyle name="Currency" xfId="1" builtinId="4"/>
    <cellStyle name="Normal" xfId="0" builtinId="0"/>
    <cellStyle name="Percent" xfId="3" builtinId="5"/>
  </cellStyles>
  <dxfs count="145">
    <dxf>
      <numFmt numFmtId="169" formatCode="&quot;$&quot;#,##0.0_);\(&quot;$&quot;#,##0.0\)"/>
    </dxf>
    <dxf>
      <numFmt numFmtId="34" formatCode="_(&quot;$&quot;* #,##0.00_);_(&quot;$&quot;* \(#,##0.00\);_(&quot;$&quot;* &quot;-&quot;??_);_(@_)"/>
    </dxf>
    <dxf>
      <numFmt numFmtId="34" formatCode="_(&quot;$&quot;* #,##0.00_);_(&quot;$&quot;* \(#,##0.00\);_(&quot;$&quot;* &quot;-&quot;??_);_(@_)"/>
    </dxf>
    <dxf>
      <numFmt numFmtId="170" formatCode="&quot;$&quot;#,##0"/>
    </dxf>
    <dxf>
      <numFmt numFmtId="13" formatCode="0%"/>
    </dxf>
    <dxf>
      <numFmt numFmtId="171" formatCode="0.0"/>
    </dxf>
    <dxf>
      <numFmt numFmtId="166" formatCode="_(&quot;$&quot;* #,##0_);_(&quot;$&quot;* \(#,##0\);_(&quot;$&quot;* &quot;-&quot;??_);_(@_)"/>
    </dxf>
    <dxf>
      <numFmt numFmtId="1" formatCode="0"/>
    </dxf>
    <dxf>
      <numFmt numFmtId="13" formatCode="0%"/>
    </dxf>
    <dxf>
      <numFmt numFmtId="171" formatCode="0.0"/>
    </dxf>
    <dxf>
      <numFmt numFmtId="171" formatCode="0.0"/>
    </dxf>
    <dxf>
      <numFmt numFmtId="171" formatCode="0.0"/>
    </dxf>
    <dxf>
      <numFmt numFmtId="13" formatCode="0%"/>
    </dxf>
    <dxf>
      <numFmt numFmtId="171" formatCode="0.0"/>
    </dxf>
    <dxf>
      <numFmt numFmtId="168" formatCode="&quot;$&quot;#,##0.00"/>
    </dxf>
    <dxf>
      <numFmt numFmtId="13" formatCode="0%"/>
    </dxf>
    <dxf>
      <numFmt numFmtId="171" formatCode="0.0"/>
    </dxf>
    <dxf>
      <numFmt numFmtId="171" formatCode="0.0"/>
    </dxf>
    <dxf>
      <numFmt numFmtId="171" formatCode="0.0"/>
    </dxf>
    <dxf>
      <numFmt numFmtId="169" formatCode="&quot;$&quot;#,##0.0_);\(&quot;$&quot;#,##0.0\)"/>
    </dxf>
    <dxf>
      <numFmt numFmtId="34" formatCode="_(&quot;$&quot;* #,##0.00_);_(&quot;$&quot;* \(#,##0.00\);_(&quot;$&quot;* &quot;-&quot;??_);_(@_)"/>
    </dxf>
    <dxf>
      <numFmt numFmtId="34" formatCode="_(&quot;$&quot;* #,##0.00_);_(&quot;$&quot;* \(#,##0.00\);_(&quot;$&quot;* &quot;-&quot;??_);_(@_)"/>
    </dxf>
    <dxf>
      <numFmt numFmtId="170" formatCode="&quot;$&quot;#,##0"/>
    </dxf>
    <dxf>
      <numFmt numFmtId="169" formatCode="&quot;$&quot;#,##0.0_);\(&quot;$&quot;#,##0.0\)"/>
    </dxf>
    <dxf>
      <numFmt numFmtId="34" formatCode="_(&quot;$&quot;* #,##0.00_);_(&quot;$&quot;* \(#,##0.00\);_(&quot;$&quot;* &quot;-&quot;??_);_(@_)"/>
    </dxf>
    <dxf>
      <numFmt numFmtId="34" formatCode="_(&quot;$&quot;* #,##0.00_);_(&quot;$&quot;* \(#,##0.00\);_(&quot;$&quot;* &quot;-&quot;??_);_(@_)"/>
    </dxf>
    <dxf>
      <numFmt numFmtId="170" formatCode="&quot;$&quot;#,##0"/>
    </dxf>
    <dxf>
      <numFmt numFmtId="169" formatCode="&quot;$&quot;#,##0.0_);\(&quot;$&quot;#,##0.0\)"/>
    </dxf>
    <dxf>
      <numFmt numFmtId="34" formatCode="_(&quot;$&quot;* #,##0.00_);_(&quot;$&quot;* \(#,##0.00\);_(&quot;$&quot;* &quot;-&quot;??_);_(@_)"/>
    </dxf>
    <dxf>
      <numFmt numFmtId="34" formatCode="_(&quot;$&quot;* #,##0.00_);_(&quot;$&quot;* \(#,##0.00\);_(&quot;$&quot;* &quot;-&quot;??_);_(@_)"/>
    </dxf>
    <dxf>
      <numFmt numFmtId="170" formatCode="&quot;$&quot;#,##0"/>
    </dxf>
    <dxf>
      <numFmt numFmtId="169" formatCode="&quot;$&quot;#,##0.0_);\(&quot;$&quot;#,##0.0\)"/>
    </dxf>
    <dxf>
      <numFmt numFmtId="34" formatCode="_(&quot;$&quot;* #,##0.00_);_(&quot;$&quot;* \(#,##0.00\);_(&quot;$&quot;* &quot;-&quot;??_);_(@_)"/>
    </dxf>
    <dxf>
      <numFmt numFmtId="34" formatCode="_(&quot;$&quot;* #,##0.00_);_(&quot;$&quot;* \(#,##0.00\);_(&quot;$&quot;* &quot;-&quot;??_);_(@_)"/>
    </dxf>
    <dxf>
      <numFmt numFmtId="170" formatCode="&quot;$&quot;#,##0"/>
    </dxf>
    <dxf>
      <numFmt numFmtId="169" formatCode="&quot;$&quot;#,##0.0_);\(&quot;$&quot;#,##0.0\)"/>
    </dxf>
    <dxf>
      <numFmt numFmtId="34" formatCode="_(&quot;$&quot;* #,##0.00_);_(&quot;$&quot;* \(#,##0.00\);_(&quot;$&quot;* &quot;-&quot;??_);_(@_)"/>
    </dxf>
    <dxf>
      <numFmt numFmtId="34" formatCode="_(&quot;$&quot;* #,##0.00_);_(&quot;$&quot;* \(#,##0.00\);_(&quot;$&quot;* &quot;-&quot;??_);_(@_)"/>
    </dxf>
    <dxf>
      <numFmt numFmtId="170" formatCode="&quot;$&quot;#,##0"/>
    </dxf>
    <dxf>
      <numFmt numFmtId="169" formatCode="&quot;$&quot;#,##0.0_);\(&quot;$&quot;#,##0.0\)"/>
    </dxf>
    <dxf>
      <numFmt numFmtId="34" formatCode="_(&quot;$&quot;* #,##0.00_);_(&quot;$&quot;* \(#,##0.00\);_(&quot;$&quot;* &quot;-&quot;??_);_(@_)"/>
    </dxf>
    <dxf>
      <numFmt numFmtId="34" formatCode="_(&quot;$&quot;* #,##0.00_);_(&quot;$&quot;* \(#,##0.00\);_(&quot;$&quot;* &quot;-&quot;??_);_(@_)"/>
    </dxf>
    <dxf>
      <numFmt numFmtId="170" formatCode="&quot;$&quot;#,##0"/>
    </dxf>
    <dxf>
      <numFmt numFmtId="169" formatCode="&quot;$&quot;#,##0.0_);\(&quot;$&quot;#,##0.0\)"/>
    </dxf>
    <dxf>
      <numFmt numFmtId="34" formatCode="_(&quot;$&quot;* #,##0.00_);_(&quot;$&quot;* \(#,##0.00\);_(&quot;$&quot;* &quot;-&quot;??_);_(@_)"/>
    </dxf>
    <dxf>
      <numFmt numFmtId="34" formatCode="_(&quot;$&quot;* #,##0.00_);_(&quot;$&quot;* \(#,##0.00\);_(&quot;$&quot;* &quot;-&quot;??_);_(@_)"/>
    </dxf>
    <dxf>
      <numFmt numFmtId="170" formatCode="&quot;$&quot;#,##0"/>
    </dxf>
    <dxf>
      <numFmt numFmtId="169" formatCode="&quot;$&quot;#,##0.0_);\(&quot;$&quot;#,##0.0\)"/>
    </dxf>
    <dxf>
      <numFmt numFmtId="34" formatCode="_(&quot;$&quot;* #,##0.00_);_(&quot;$&quot;* \(#,##0.00\);_(&quot;$&quot;* &quot;-&quot;??_);_(@_)"/>
    </dxf>
    <dxf>
      <numFmt numFmtId="34" formatCode="_(&quot;$&quot;* #,##0.00_);_(&quot;$&quot;* \(#,##0.00\);_(&quot;$&quot;* &quot;-&quot;??_);_(@_)"/>
    </dxf>
    <dxf>
      <numFmt numFmtId="170" formatCode="&quot;$&quot;#,##0"/>
    </dxf>
    <dxf>
      <numFmt numFmtId="13" formatCode="0%"/>
    </dxf>
    <dxf>
      <numFmt numFmtId="171" formatCode="0.0"/>
    </dxf>
    <dxf>
      <numFmt numFmtId="166" formatCode="_(&quot;$&quot;* #,##0_);_(&quot;$&quot;* \(#,##0\);_(&quot;$&quot;* &quot;-&quot;??_);_(@_)"/>
    </dxf>
    <dxf>
      <numFmt numFmtId="1" formatCode="0"/>
    </dxf>
    <dxf>
      <numFmt numFmtId="13" formatCode="0%"/>
    </dxf>
    <dxf>
      <numFmt numFmtId="171" formatCode="0.0"/>
    </dxf>
    <dxf>
      <numFmt numFmtId="171" formatCode="0.0"/>
    </dxf>
    <dxf>
      <numFmt numFmtId="171" formatCode="0.0"/>
    </dxf>
    <dxf>
      <numFmt numFmtId="13" formatCode="0%"/>
    </dxf>
    <dxf>
      <numFmt numFmtId="171" formatCode="0.0"/>
    </dxf>
    <dxf>
      <numFmt numFmtId="168" formatCode="&quot;$&quot;#,##0.00"/>
    </dxf>
    <dxf>
      <numFmt numFmtId="1" formatCode="0"/>
    </dxf>
    <dxf>
      <numFmt numFmtId="13" formatCode="0%"/>
    </dxf>
    <dxf>
      <numFmt numFmtId="171" formatCode="0.0"/>
    </dxf>
    <dxf>
      <numFmt numFmtId="166" formatCode="_(&quot;$&quot;* #,##0_);_(&quot;$&quot;* \(#,##0\);_(&quot;$&quot;* &quot;-&quot;??_);_(@_)"/>
    </dxf>
    <dxf>
      <numFmt numFmtId="172" formatCode="_(&quot;$&quot;* #,##0.0_);_(&quot;$&quot;* \(#,##0.0\);_(&quot;$&quot;* &quot;-&quot;??_);_(@_)"/>
    </dxf>
    <dxf>
      <numFmt numFmtId="166" formatCode="_(&quot;$&quot;* #,##0_);_(&quot;$&quot;* \(#,##0\);_(&quot;$&quot;* &quot;-&quot;??_);_(@_)"/>
    </dxf>
    <dxf>
      <numFmt numFmtId="13" formatCode="0%"/>
    </dxf>
    <dxf>
      <numFmt numFmtId="171" formatCode="0.0"/>
    </dxf>
    <dxf>
      <numFmt numFmtId="172" formatCode="_(&quot;$&quot;* #,##0.0_);_(&quot;$&quot;* \(#,##0.0\);_(&quot;$&quot;* &quot;-&quot;??_);_(@_)"/>
    </dxf>
    <dxf>
      <numFmt numFmtId="34" formatCode="_(&quot;$&quot;* #,##0.00_);_(&quot;$&quot;* \(#,##0.00\);_(&quot;$&quot;* &quot;-&quot;??_);_(@_)"/>
    </dxf>
    <dxf>
      <numFmt numFmtId="13" formatCode="0%"/>
    </dxf>
    <dxf>
      <numFmt numFmtId="171" formatCode="0.0"/>
    </dxf>
    <dxf>
      <numFmt numFmtId="34" formatCode="_(&quot;$&quot;* #,##0.00_);_(&quot;$&quot;* \(#,##0.00\);_(&quot;$&quot;* &quot;-&quot;??_);_(@_)"/>
    </dxf>
    <dxf>
      <numFmt numFmtId="13" formatCode="0%"/>
    </dxf>
    <dxf>
      <numFmt numFmtId="171" formatCode="0.0"/>
    </dxf>
    <dxf>
      <numFmt numFmtId="169" formatCode="&quot;$&quot;#,##0.0_);\(&quot;$&quot;#,##0.0\)"/>
    </dxf>
    <dxf>
      <numFmt numFmtId="34" formatCode="_(&quot;$&quot;* #,##0.00_);_(&quot;$&quot;* \(#,##0.00\);_(&quot;$&quot;* &quot;-&quot;??_);_(@_)"/>
    </dxf>
    <dxf>
      <numFmt numFmtId="34" formatCode="_(&quot;$&quot;* #,##0.00_);_(&quot;$&quot;* \(#,##0.00\);_(&quot;$&quot;* &quot;-&quot;??_);_(@_)"/>
    </dxf>
    <dxf>
      <numFmt numFmtId="170" formatCode="&quot;$&quot;#,##0"/>
    </dxf>
    <dxf>
      <numFmt numFmtId="13" formatCode="0%"/>
    </dxf>
    <dxf>
      <numFmt numFmtId="171" formatCode="0.0"/>
    </dxf>
    <dxf>
      <numFmt numFmtId="168" formatCode="&quot;$&quot;#,##0.00"/>
    </dxf>
    <dxf>
      <numFmt numFmtId="13" formatCode="0%"/>
    </dxf>
    <dxf>
      <numFmt numFmtId="171" formatCode="0.0"/>
    </dxf>
    <dxf>
      <numFmt numFmtId="13" formatCode="0%"/>
    </dxf>
    <dxf>
      <numFmt numFmtId="171" formatCode="0.0"/>
    </dxf>
    <dxf>
      <numFmt numFmtId="171" formatCode="0.0"/>
    </dxf>
    <dxf>
      <numFmt numFmtId="171" formatCode="0.0"/>
    </dxf>
    <dxf>
      <numFmt numFmtId="169" formatCode="&quot;$&quot;#,##0.0_);\(&quot;$&quot;#,##0.0\)"/>
    </dxf>
    <dxf>
      <numFmt numFmtId="34" formatCode="_(&quot;$&quot;* #,##0.00_);_(&quot;$&quot;* \(#,##0.00\);_(&quot;$&quot;* &quot;-&quot;??_);_(@_)"/>
    </dxf>
    <dxf>
      <numFmt numFmtId="34" formatCode="_(&quot;$&quot;* #,##0.00_);_(&quot;$&quot;* \(#,##0.00\);_(&quot;$&quot;* &quot;-&quot;??_);_(@_)"/>
    </dxf>
    <dxf>
      <numFmt numFmtId="170" formatCode="&quot;$&quot;#,##0"/>
    </dxf>
    <dxf>
      <numFmt numFmtId="13" formatCode="0%"/>
    </dxf>
    <dxf>
      <numFmt numFmtId="171" formatCode="0.0"/>
    </dxf>
    <dxf>
      <numFmt numFmtId="13" formatCode="0%"/>
    </dxf>
    <dxf>
      <numFmt numFmtId="171" formatCode="0.0"/>
    </dxf>
    <dxf>
      <numFmt numFmtId="13" formatCode="0%"/>
    </dxf>
    <dxf>
      <numFmt numFmtId="171" formatCode="0.0"/>
    </dxf>
    <dxf>
      <numFmt numFmtId="13" formatCode="0%"/>
    </dxf>
    <dxf>
      <numFmt numFmtId="171" formatCode="0.0"/>
    </dxf>
    <dxf>
      <numFmt numFmtId="13" formatCode="0%"/>
    </dxf>
    <dxf>
      <numFmt numFmtId="171" formatCode="0.0"/>
    </dxf>
    <dxf>
      <numFmt numFmtId="13" formatCode="0%"/>
    </dxf>
    <dxf>
      <numFmt numFmtId="171" formatCode="0.0"/>
    </dxf>
    <dxf>
      <numFmt numFmtId="13" formatCode="0%"/>
    </dxf>
    <dxf>
      <numFmt numFmtId="171" formatCode="0.0"/>
    </dxf>
    <dxf>
      <numFmt numFmtId="171" formatCode="0.0"/>
    </dxf>
    <dxf>
      <numFmt numFmtId="171" formatCode="0.0"/>
    </dxf>
    <dxf>
      <numFmt numFmtId="13" formatCode="0%"/>
    </dxf>
    <dxf>
      <numFmt numFmtId="171" formatCode="0.0"/>
    </dxf>
    <dxf>
      <numFmt numFmtId="171" formatCode="0.0"/>
    </dxf>
    <dxf>
      <numFmt numFmtId="171" formatCode="0.0"/>
    </dxf>
    <dxf>
      <numFmt numFmtId="13" formatCode="0%"/>
    </dxf>
    <dxf>
      <numFmt numFmtId="171" formatCode="0.0"/>
    </dxf>
    <dxf>
      <numFmt numFmtId="13" formatCode="0%"/>
    </dxf>
    <dxf>
      <numFmt numFmtId="171" formatCode="0.0"/>
    </dxf>
    <dxf>
      <numFmt numFmtId="168" formatCode="&quot;$&quot;#,##0.00"/>
    </dxf>
    <dxf>
      <numFmt numFmtId="13" formatCode="0%"/>
    </dxf>
    <dxf>
      <numFmt numFmtId="171" formatCode="0.0"/>
    </dxf>
    <dxf>
      <numFmt numFmtId="171" formatCode="0.0"/>
    </dxf>
    <dxf>
      <numFmt numFmtId="171" formatCode="0.0"/>
    </dxf>
    <dxf>
      <numFmt numFmtId="13" formatCode="0%"/>
    </dxf>
    <dxf>
      <numFmt numFmtId="171" formatCode="0.0"/>
    </dxf>
    <dxf>
      <numFmt numFmtId="171" formatCode="0.0"/>
    </dxf>
    <dxf>
      <numFmt numFmtId="171" formatCode="0.0"/>
    </dxf>
    <dxf>
      <numFmt numFmtId="164" formatCode="_(* #,##0_);_(* \(#,##0\);_(* &quot;-&quot;??_);_(@_)"/>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7" formatCode="&quot;$&quot;#,##0;[Red]&quot;$&quot;#,##0"/>
    </dxf>
    <dxf>
      <font>
        <b val="0"/>
        <i val="0"/>
        <strike val="0"/>
        <condense val="0"/>
        <extend val="0"/>
        <outline val="0"/>
        <shadow val="0"/>
        <u val="none"/>
        <vertAlign val="baseline"/>
        <sz val="11"/>
        <color theme="1"/>
        <name val="Calibri"/>
        <family val="2"/>
        <scheme val="minor"/>
      </font>
    </dxf>
    <dxf>
      <numFmt numFmtId="171" formatCode="0.0"/>
    </dxf>
    <dxf>
      <numFmt numFmtId="171" formatCode="0.0"/>
    </dxf>
    <dxf>
      <numFmt numFmtId="171" formatCode="0.0"/>
    </dxf>
    <dxf>
      <numFmt numFmtId="13" formatCode="0%"/>
    </dxf>
    <dxf>
      <numFmt numFmtId="170" formatCode="&quot;$&quot;#,##0"/>
    </dxf>
    <dxf>
      <numFmt numFmtId="34" formatCode="_(&quot;$&quot;* #,##0.00_);_(&quot;$&quot;* \(#,##0.00\);_(&quot;$&quot;* &quot;-&quot;??_);_(@_)"/>
    </dxf>
    <dxf>
      <numFmt numFmtId="34" formatCode="_(&quot;$&quot;* #,##0.00_);_(&quot;$&quot;* \(#,##0.00\);_(&quot;$&quot;* &quot;-&quot;??_);_(@_)"/>
    </dxf>
    <dxf>
      <numFmt numFmtId="169" formatCode="&quot;$&quot;#,##0.0_);\(&quot;$&quot;#,##0.0\)"/>
    </dxf>
    <dxf>
      <numFmt numFmtId="168" formatCode="&quot;$&quot;#,##0.00"/>
    </dxf>
    <dxf>
      <numFmt numFmtId="171" formatCode="0.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[HR_Analytics_Capstone_Raw_Data.xlsx]Analysis!PivotTable1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Headcount by Department</a:t>
            </a:r>
          </a:p>
        </c:rich>
      </c:tx>
      <c:overlay val="0"/>
      <c:spPr>
        <a:solidFill>
          <a:schemeClr val="tx2">
            <a:lumMod val="40000"/>
            <a:lumOff val="6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Analysis!$B$3</c:f>
              <c:strCache>
                <c:ptCount val="1"/>
                <c:pt idx="0">
                  <c:v>Headcount</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Analysis!$A$4:$A$10</c:f>
              <c:strCache>
                <c:ptCount val="6"/>
                <c:pt idx="0">
                  <c:v>Finance</c:v>
                </c:pt>
                <c:pt idx="1">
                  <c:v>Human Resources</c:v>
                </c:pt>
                <c:pt idx="2">
                  <c:v>Information Technology</c:v>
                </c:pt>
                <c:pt idx="3">
                  <c:v>Marketing</c:v>
                </c:pt>
                <c:pt idx="4">
                  <c:v>Operations</c:v>
                </c:pt>
                <c:pt idx="5">
                  <c:v>Sales</c:v>
                </c:pt>
              </c:strCache>
            </c:strRef>
          </c:cat>
          <c:val>
            <c:numRef>
              <c:f>Analysis!$B$4:$B$10</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0-CFDB-470A-8C7F-795EE20E018D}"/>
            </c:ext>
          </c:extLst>
        </c:ser>
        <c:ser>
          <c:idx val="1"/>
          <c:order val="1"/>
          <c:tx>
            <c:strRef>
              <c:f>Analysis!$C$3</c:f>
              <c:strCache>
                <c:ptCount val="1"/>
                <c:pt idx="0">
                  <c:v>Average of Salary</c:v>
                </c:pt>
              </c:strCache>
            </c:strRef>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Analysis!$A$4:$A$10</c:f>
              <c:strCache>
                <c:ptCount val="6"/>
                <c:pt idx="0">
                  <c:v>Finance</c:v>
                </c:pt>
                <c:pt idx="1">
                  <c:v>Human Resources</c:v>
                </c:pt>
                <c:pt idx="2">
                  <c:v>Information Technology</c:v>
                </c:pt>
                <c:pt idx="3">
                  <c:v>Marketing</c:v>
                </c:pt>
                <c:pt idx="4">
                  <c:v>Operations</c:v>
                </c:pt>
                <c:pt idx="5">
                  <c:v>Sales</c:v>
                </c:pt>
              </c:strCache>
            </c:strRef>
          </c:cat>
          <c:val>
            <c:numRef>
              <c:f>Analysis!$C$4:$C$10</c:f>
              <c:numCache>
                <c:formatCode>"$"#,##0</c:formatCode>
                <c:ptCount val="6"/>
                <c:pt idx="0">
                  <c:v>87938.411764705888</c:v>
                </c:pt>
                <c:pt idx="1">
                  <c:v>85649.944444444438</c:v>
                </c:pt>
                <c:pt idx="2">
                  <c:v>80014.222222222219</c:v>
                </c:pt>
                <c:pt idx="3">
                  <c:v>85508.15789473684</c:v>
                </c:pt>
                <c:pt idx="4">
                  <c:v>79786.68965517242</c:v>
                </c:pt>
                <c:pt idx="5">
                  <c:v>87282.258064516136</c:v>
                </c:pt>
              </c:numCache>
            </c:numRef>
          </c:val>
          <c:extLst>
            <c:ext xmlns:c16="http://schemas.microsoft.com/office/drawing/2014/chart" uri="{C3380CC4-5D6E-409C-BE32-E72D297353CC}">
              <c16:uniqueId val="{00000001-CFDB-470A-8C7F-795EE20E018D}"/>
            </c:ext>
          </c:extLst>
        </c:ser>
        <c:dLbls>
          <c:showLegendKey val="0"/>
          <c:showVal val="0"/>
          <c:showCatName val="0"/>
          <c:showSerName val="0"/>
          <c:showPercent val="0"/>
          <c:showBubbleSize val="0"/>
        </c:dLbls>
        <c:gapWidth val="150"/>
        <c:shape val="box"/>
        <c:axId val="1974294384"/>
        <c:axId val="1974313584"/>
        <c:axId val="0"/>
      </c:bar3DChart>
      <c:catAx>
        <c:axId val="19742943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13584"/>
        <c:crosses val="autoZero"/>
        <c:auto val="1"/>
        <c:lblAlgn val="ctr"/>
        <c:lblOffset val="100"/>
        <c:noMultiLvlLbl val="0"/>
      </c:catAx>
      <c:valAx>
        <c:axId val="197431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29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[HR_Analytics_Capstone_Raw_Data.xlsx]Analysis!PivotTable2</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AVERAGE PERFORMANCE</a:t>
            </a:r>
          </a:p>
        </c:rich>
      </c:tx>
      <c:overlay val="0"/>
      <c:spPr>
        <a:solidFill>
          <a:schemeClr val="accent1">
            <a:lumMod val="20000"/>
            <a:lumOff val="80000"/>
          </a:schemeClr>
        </a:solid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marker>
          <c:symbol val="none"/>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a:noFill/>
          </a:ln>
          <a:effectLst>
            <a:outerShdw blurRad="63500" sx="102000" sy="102000" algn="ctr" rotWithShape="0">
              <a:prstClr val="black">
                <a:alpha val="20000"/>
              </a:prstClr>
            </a:outerShdw>
          </a:effectLst>
        </c:spPr>
      </c:pivotFmt>
      <c:pivotFmt>
        <c:idx val="7"/>
        <c:spPr>
          <a:solidFill>
            <a:schemeClr val="accent2"/>
          </a:solidFill>
          <a:ln>
            <a:noFill/>
          </a:ln>
          <a:effectLst>
            <a:outerShdw blurRad="63500" sx="102000" sy="102000" algn="ctr" rotWithShape="0">
              <a:prstClr val="black">
                <a:alpha val="20000"/>
              </a:prstClr>
            </a:outerShdw>
          </a:effectLst>
        </c:spPr>
      </c:pivotFmt>
      <c:pivotFmt>
        <c:idx val="8"/>
        <c:spPr>
          <a:solidFill>
            <a:schemeClr val="accent3"/>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Analysis!$G$3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986-427A-897E-6160BAD2164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986-427A-897E-6160BAD2164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986-427A-897E-6160BAD21648}"/>
              </c:ext>
            </c:extLst>
          </c:dPt>
          <c:dLbls>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Analysis!$F$4:$F$6</c:f>
              <c:strCache>
                <c:ptCount val="3"/>
                <c:pt idx="0">
                  <c:v>Active</c:v>
                </c:pt>
                <c:pt idx="1">
                  <c:v>Left</c:v>
                </c:pt>
                <c:pt idx="2">
                  <c:v>Resigned</c:v>
                </c:pt>
              </c:strCache>
            </c:strRef>
          </c:cat>
          <c:val>
            <c:numRef>
              <c:f>Analysis!$G$4:$G$6</c:f>
              <c:numCache>
                <c:formatCode>General</c:formatCode>
                <c:ptCount val="3"/>
                <c:pt idx="0">
                  <c:v>67.91379310344827</c:v>
                </c:pt>
                <c:pt idx="1">
                  <c:v>66.083333333333329</c:v>
                </c:pt>
                <c:pt idx="2">
                  <c:v>76.400000000000006</c:v>
                </c:pt>
              </c:numCache>
            </c:numRef>
          </c:val>
          <c:extLst>
            <c:ext xmlns:c16="http://schemas.microsoft.com/office/drawing/2014/chart" uri="{C3380CC4-5D6E-409C-BE32-E72D297353CC}">
              <c16:uniqueId val="{00000006-1986-427A-897E-6160BAD21648}"/>
            </c:ext>
          </c:extLst>
        </c:ser>
        <c:dLbls>
          <c:dLblPos val="outEnd"/>
          <c:showLegendKey val="0"/>
          <c:showVal val="0"/>
          <c:showCatName val="1"/>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[HR_Analytics_Capstone_Raw_Data.xlsx]Analysis!PivotTable4</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1"/>
              <a:t>Bonus</a:t>
            </a:r>
            <a:r>
              <a:rPr lang="en-US" b="1" baseline="0"/>
              <a:t> payout by band</a:t>
            </a:r>
            <a:endParaRPr lang="en-US" b="1"/>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Analysis!$B$14</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Analysis!$A$15:$A$20</c:f>
              <c:strCache>
                <c:ptCount val="5"/>
                <c:pt idx="0">
                  <c:v>Achieving</c:v>
                </c:pt>
                <c:pt idx="1">
                  <c:v>Developing</c:v>
                </c:pt>
                <c:pt idx="2">
                  <c:v>Exceeding</c:v>
                </c:pt>
                <c:pt idx="3">
                  <c:v>Needs Improvement</c:v>
                </c:pt>
                <c:pt idx="4">
                  <c:v>Outstanding</c:v>
                </c:pt>
              </c:strCache>
            </c:strRef>
          </c:cat>
          <c:val>
            <c:numRef>
              <c:f>Analysis!$B$15:$B$20</c:f>
              <c:numCache>
                <c:formatCode>"$"#,##0.00</c:formatCode>
                <c:ptCount val="5"/>
                <c:pt idx="0">
                  <c:v>190093.20000000004</c:v>
                </c:pt>
                <c:pt idx="1">
                  <c:v>75052.44</c:v>
                </c:pt>
                <c:pt idx="2">
                  <c:v>145136.00000000003</c:v>
                </c:pt>
                <c:pt idx="3">
                  <c:v>0</c:v>
                </c:pt>
                <c:pt idx="4">
                  <c:v>91980.72</c:v>
                </c:pt>
              </c:numCache>
            </c:numRef>
          </c:val>
          <c:extLst>
            <c:ext xmlns:c16="http://schemas.microsoft.com/office/drawing/2014/chart" uri="{C3380CC4-5D6E-409C-BE32-E72D297353CC}">
              <c16:uniqueId val="{00000000-4670-4F38-9DD6-87CB2C985258}"/>
            </c:ext>
          </c:extLst>
        </c:ser>
        <c:dLbls>
          <c:dLblPos val="outEnd"/>
          <c:showLegendKey val="0"/>
          <c:showVal val="1"/>
          <c:showCatName val="0"/>
          <c:showSerName val="0"/>
          <c:showPercent val="0"/>
          <c:showBubbleSize val="0"/>
        </c:dLbls>
        <c:gapWidth val="164"/>
        <c:overlap val="-22"/>
        <c:axId val="203465408"/>
        <c:axId val="203477888"/>
      </c:barChart>
      <c:catAx>
        <c:axId val="20346540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77888"/>
        <c:crosses val="autoZero"/>
        <c:auto val="1"/>
        <c:lblAlgn val="ctr"/>
        <c:lblOffset val="100"/>
        <c:noMultiLvlLbl val="0"/>
      </c:catAx>
      <c:valAx>
        <c:axId val="20347788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6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[HR_Analytics_Capstone_Raw_Data.xlsx]Analysis!PivotTable5</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Rate by Department</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Analysis!$G$14:$G$15</c:f>
              <c:strCache>
                <c:ptCount val="1"/>
                <c:pt idx="0">
                  <c:v>Active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Analysis!$F$16:$F$22</c:f>
              <c:strCache>
                <c:ptCount val="6"/>
                <c:pt idx="0">
                  <c:v>Finance</c:v>
                </c:pt>
                <c:pt idx="1">
                  <c:v>Human Resources</c:v>
                </c:pt>
                <c:pt idx="2">
                  <c:v>Information Technology</c:v>
                </c:pt>
                <c:pt idx="3">
                  <c:v>Marketing</c:v>
                </c:pt>
                <c:pt idx="4">
                  <c:v>Operations</c:v>
                </c:pt>
                <c:pt idx="5">
                  <c:v>Sales</c:v>
                </c:pt>
              </c:strCache>
            </c:strRef>
          </c:cat>
          <c:val>
            <c:numRef>
              <c:f>Analysis!$G$16:$G$22</c:f>
              <c:numCache>
                <c:formatCode>0%</c:formatCode>
                <c:ptCount val="6"/>
                <c:pt idx="0">
                  <c:v>0.82352941176470584</c:v>
                </c:pt>
                <c:pt idx="1">
                  <c:v>0.83333333333333337</c:v>
                </c:pt>
                <c:pt idx="2">
                  <c:v>0.77777777777777779</c:v>
                </c:pt>
                <c:pt idx="3">
                  <c:v>0.84210526315789469</c:v>
                </c:pt>
                <c:pt idx="4">
                  <c:v>0.62068965517241381</c:v>
                </c:pt>
                <c:pt idx="5">
                  <c:v>0.80645161290322576</c:v>
                </c:pt>
              </c:numCache>
            </c:numRef>
          </c:val>
          <c:extLst>
            <c:ext xmlns:c16="http://schemas.microsoft.com/office/drawing/2014/chart" uri="{C3380CC4-5D6E-409C-BE32-E72D297353CC}">
              <c16:uniqueId val="{00000000-23E4-4932-BAB7-7DA1357E83F0}"/>
            </c:ext>
          </c:extLst>
        </c:ser>
        <c:ser>
          <c:idx val="1"/>
          <c:order val="1"/>
          <c:tx>
            <c:strRef>
              <c:f>Analysis!$H$14:$H$15</c:f>
              <c:strCache>
                <c:ptCount val="1"/>
                <c:pt idx="0">
                  <c:v>Left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Analysis!$F$16:$F$22</c:f>
              <c:strCache>
                <c:ptCount val="6"/>
                <c:pt idx="0">
                  <c:v>Finance</c:v>
                </c:pt>
                <c:pt idx="1">
                  <c:v>Human Resources</c:v>
                </c:pt>
                <c:pt idx="2">
                  <c:v>Information Technology</c:v>
                </c:pt>
                <c:pt idx="3">
                  <c:v>Marketing</c:v>
                </c:pt>
                <c:pt idx="4">
                  <c:v>Operations</c:v>
                </c:pt>
                <c:pt idx="5">
                  <c:v>Sales</c:v>
                </c:pt>
              </c:strCache>
            </c:strRef>
          </c:cat>
          <c:val>
            <c:numRef>
              <c:f>Analysis!$H$16:$H$22</c:f>
              <c:numCache>
                <c:formatCode>0%</c:formatCode>
                <c:ptCount val="6"/>
                <c:pt idx="0">
                  <c:v>0.17647058823529413</c:v>
                </c:pt>
                <c:pt idx="1">
                  <c:v>0.1111111111111111</c:v>
                </c:pt>
                <c:pt idx="2">
                  <c:v>0.16666666666666666</c:v>
                </c:pt>
                <c:pt idx="3">
                  <c:v>0.15789473684210525</c:v>
                </c:pt>
                <c:pt idx="4">
                  <c:v>0.20689655172413793</c:v>
                </c:pt>
                <c:pt idx="5">
                  <c:v>0.12903225806451613</c:v>
                </c:pt>
              </c:numCache>
            </c:numRef>
          </c:val>
          <c:extLst>
            <c:ext xmlns:c16="http://schemas.microsoft.com/office/drawing/2014/chart" uri="{C3380CC4-5D6E-409C-BE32-E72D297353CC}">
              <c16:uniqueId val="{00000003-3BA3-4055-9C82-2B7E084526E8}"/>
            </c:ext>
          </c:extLst>
        </c:ser>
        <c:ser>
          <c:idx val="2"/>
          <c:order val="2"/>
          <c:tx>
            <c:strRef>
              <c:f>Analysis!$I$14:$I$15</c:f>
              <c:strCache>
                <c:ptCount val="1"/>
                <c:pt idx="0">
                  <c:v>Resigned</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Analysis!$F$16:$F$22</c:f>
              <c:strCache>
                <c:ptCount val="6"/>
                <c:pt idx="0">
                  <c:v>Finance</c:v>
                </c:pt>
                <c:pt idx="1">
                  <c:v>Human Resources</c:v>
                </c:pt>
                <c:pt idx="2">
                  <c:v>Information Technology</c:v>
                </c:pt>
                <c:pt idx="3">
                  <c:v>Marketing</c:v>
                </c:pt>
                <c:pt idx="4">
                  <c:v>Operations</c:v>
                </c:pt>
                <c:pt idx="5">
                  <c:v>Sales</c:v>
                </c:pt>
              </c:strCache>
            </c:strRef>
          </c:cat>
          <c:val>
            <c:numRef>
              <c:f>Analysis!$I$16:$I$22</c:f>
              <c:numCache>
                <c:formatCode>0%</c:formatCode>
                <c:ptCount val="6"/>
                <c:pt idx="0">
                  <c:v>0</c:v>
                </c:pt>
                <c:pt idx="1">
                  <c:v>5.5555555555555552E-2</c:v>
                </c:pt>
                <c:pt idx="2">
                  <c:v>5.5555555555555552E-2</c:v>
                </c:pt>
                <c:pt idx="3">
                  <c:v>0</c:v>
                </c:pt>
                <c:pt idx="4">
                  <c:v>0.17241379310344829</c:v>
                </c:pt>
                <c:pt idx="5">
                  <c:v>6.4516129032258063E-2</c:v>
                </c:pt>
              </c:numCache>
            </c:numRef>
          </c:val>
          <c:extLst>
            <c:ext xmlns:c16="http://schemas.microsoft.com/office/drawing/2014/chart" uri="{C3380CC4-5D6E-409C-BE32-E72D297353CC}">
              <c16:uniqueId val="{00000004-3BA3-4055-9C82-2B7E084526E8}"/>
            </c:ext>
          </c:extLst>
        </c:ser>
        <c:dLbls>
          <c:dLblPos val="outEnd"/>
          <c:showLegendKey val="0"/>
          <c:showVal val="1"/>
          <c:showCatName val="0"/>
          <c:showSerName val="0"/>
          <c:showPercent val="0"/>
          <c:showBubbleSize val="0"/>
        </c:dLbls>
        <c:gapWidth val="444"/>
        <c:overlap val="-90"/>
        <c:axId val="196764592"/>
        <c:axId val="196756912"/>
      </c:barChart>
      <c:catAx>
        <c:axId val="19676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6756912"/>
        <c:crosses val="autoZero"/>
        <c:auto val="1"/>
        <c:lblAlgn val="ctr"/>
        <c:lblOffset val="100"/>
        <c:noMultiLvlLbl val="0"/>
      </c:catAx>
      <c:valAx>
        <c:axId val="196756912"/>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Attrition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9676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0</xdr:rowOff>
    </xdr:from>
    <xdr:to>
      <xdr:col>4</xdr:col>
      <xdr:colOff>518160</xdr:colOff>
      <xdr:row>16</xdr:row>
      <xdr:rowOff>38100</xdr:rowOff>
    </xdr:to>
    <xdr:graphicFrame macro="">
      <xdr:nvGraphicFramePr>
        <xdr:cNvPr id="3" name="Chart 2">
          <a:extLst>
            <a:ext uri="{FF2B5EF4-FFF2-40B4-BE49-F238E27FC236}">
              <a16:creationId xmlns:a16="http://schemas.microsoft.com/office/drawing/2014/main" id="{BC31E52A-7138-47C9-9803-8C33A21B2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16</xdr:row>
      <xdr:rowOff>45720</xdr:rowOff>
    </xdr:from>
    <xdr:to>
      <xdr:col>4</xdr:col>
      <xdr:colOff>518160</xdr:colOff>
      <xdr:row>30</xdr:row>
      <xdr:rowOff>60960</xdr:rowOff>
    </xdr:to>
    <xdr:graphicFrame macro="">
      <xdr:nvGraphicFramePr>
        <xdr:cNvPr id="4" name="Chart 3">
          <a:extLst>
            <a:ext uri="{FF2B5EF4-FFF2-40B4-BE49-F238E27FC236}">
              <a16:creationId xmlns:a16="http://schemas.microsoft.com/office/drawing/2014/main" id="{DD3364EA-758B-4544-9A91-003F1ECC3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510540</xdr:colOff>
      <xdr:row>4</xdr:row>
      <xdr:rowOff>7620</xdr:rowOff>
    </xdr:from>
    <xdr:to>
      <xdr:col>10</xdr:col>
      <xdr:colOff>594360</xdr:colOff>
      <xdr:row>16</xdr:row>
      <xdr:rowOff>38100</xdr:rowOff>
    </xdr:to>
    <xdr:graphicFrame macro="">
      <xdr:nvGraphicFramePr>
        <xdr:cNvPr id="5" name="Chart 4">
          <a:extLst>
            <a:ext uri="{FF2B5EF4-FFF2-40B4-BE49-F238E27FC236}">
              <a16:creationId xmlns:a16="http://schemas.microsoft.com/office/drawing/2014/main" id="{2EF72164-7125-4FBB-8944-AA9D090B8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525780</xdr:colOff>
      <xdr:row>16</xdr:row>
      <xdr:rowOff>38100</xdr:rowOff>
    </xdr:from>
    <xdr:to>
      <xdr:col>12</xdr:col>
      <xdr:colOff>411480</xdr:colOff>
      <xdr:row>29</xdr:row>
      <xdr:rowOff>15240</xdr:rowOff>
    </xdr:to>
    <xdr:graphicFrame macro="">
      <xdr:nvGraphicFramePr>
        <xdr:cNvPr id="6" name="Chart 5">
          <a:extLst>
            <a:ext uri="{FF2B5EF4-FFF2-40B4-BE49-F238E27FC236}">
              <a16:creationId xmlns:a16="http://schemas.microsoft.com/office/drawing/2014/main" id="{5BF43D87-A3BF-4692-AD2B-7F70A3B25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601980</xdr:colOff>
      <xdr:row>2</xdr:row>
      <xdr:rowOff>1</xdr:rowOff>
    </xdr:from>
    <xdr:to>
      <xdr:col>13</xdr:col>
      <xdr:colOff>601980</xdr:colOff>
      <xdr:row>4</xdr:row>
      <xdr:rowOff>15241</xdr:rowOff>
    </xdr:to>
    <mc:AlternateContent xmlns:mc="http://schemas.openxmlformats.org/markup-compatibility/2006">
      <mc:Choice xmlns:a14="http://schemas.microsoft.com/office/drawing/2010/main" Requires="a14">
        <xdr:graphicFrame macro="">
          <xdr:nvGraphicFramePr>
            <xdr:cNvPr id="2" name="Employment status">
              <a:extLst>
                <a:ext uri="{FF2B5EF4-FFF2-40B4-BE49-F238E27FC236}">
                  <a16:creationId xmlns:a16="http://schemas.microsoft.com/office/drawing/2014/main" id="{336853F5-2ACE-7DA1-1AE5-7787006D4F26}"/>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dr:sp macro="" textlink="">
          <xdr:nvSpPr>
            <xdr:cNvPr id="0" name=""/>
            <xdr:cNvSpPr>
              <a:spLocks noTextEdit="1"/>
            </xdr:cNvSpPr>
          </xdr:nvSpPr>
          <xdr:spPr>
            <a:xfrm>
              <a:off x="7345680" y="548641"/>
              <a:ext cx="1828800"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586740</xdr:colOff>
      <xdr:row>2</xdr:row>
      <xdr:rowOff>1</xdr:rowOff>
    </xdr:from>
    <xdr:to>
      <xdr:col>19</xdr:col>
      <xdr:colOff>586740</xdr:colOff>
      <xdr:row>4</xdr:row>
      <xdr:rowOff>22860</xdr:rowOff>
    </xdr:to>
    <mc:AlternateContent xmlns:mc="http://schemas.openxmlformats.org/markup-compatibility/2006">
      <mc:Choice xmlns:a14="http://schemas.microsoft.com/office/drawing/2010/main" Requires="a14">
        <xdr:graphicFrame macro="">
          <xdr:nvGraphicFramePr>
            <xdr:cNvPr id="10" name="Departemant Name">
              <a:extLst>
                <a:ext uri="{FF2B5EF4-FFF2-40B4-BE49-F238E27FC236}">
                  <a16:creationId xmlns:a16="http://schemas.microsoft.com/office/drawing/2014/main" id="{020A39E5-A5C9-9F2B-09D5-0C4E5F2B1353}"/>
                </a:ext>
              </a:extLst>
            </xdr:cNvPr>
            <xdr:cNvGraphicFramePr/>
          </xdr:nvGraphicFramePr>
          <xdr:xfrm>
            <a:off x="0" y="0"/>
            <a:ext cx="0" cy="0"/>
          </xdr:xfrm>
          <a:graphic>
            <a:graphicData uri="http://schemas.microsoft.com/office/drawing/2010/slicer">
              <sle:slicer xmlns:sle="http://schemas.microsoft.com/office/drawing/2010/slicer" name="Departemant Name"/>
            </a:graphicData>
          </a:graphic>
        </xdr:graphicFrame>
      </mc:Choice>
      <mc:Fallback>
        <xdr:sp macro="" textlink="">
          <xdr:nvSpPr>
            <xdr:cNvPr id="0" name=""/>
            <xdr:cNvSpPr>
              <a:spLocks noTextEdit="1"/>
            </xdr:cNvSpPr>
          </xdr:nvSpPr>
          <xdr:spPr>
            <a:xfrm>
              <a:off x="10988040" y="548641"/>
              <a:ext cx="1828800"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594360</xdr:colOff>
      <xdr:row>2</xdr:row>
      <xdr:rowOff>0</xdr:rowOff>
    </xdr:from>
    <xdr:to>
      <xdr:col>16</xdr:col>
      <xdr:colOff>594360</xdr:colOff>
      <xdr:row>4</xdr:row>
      <xdr:rowOff>22860</xdr:rowOff>
    </xdr:to>
    <mc:AlternateContent xmlns:mc="http://schemas.openxmlformats.org/markup-compatibility/2006">
      <mc:Choice xmlns:a14="http://schemas.microsoft.com/office/drawing/2010/main" Requires="a14">
        <xdr:graphicFrame macro="">
          <xdr:nvGraphicFramePr>
            <xdr:cNvPr id="12" name="Performance band 1">
              <a:extLst>
                <a:ext uri="{FF2B5EF4-FFF2-40B4-BE49-F238E27FC236}">
                  <a16:creationId xmlns:a16="http://schemas.microsoft.com/office/drawing/2014/main" id="{F2C00D8A-9E51-2E1E-F117-17C10DBF3DB3}"/>
                </a:ext>
              </a:extLst>
            </xdr:cNvPr>
            <xdr:cNvGraphicFramePr/>
          </xdr:nvGraphicFramePr>
          <xdr:xfrm>
            <a:off x="0" y="0"/>
            <a:ext cx="0" cy="0"/>
          </xdr:xfrm>
          <a:graphic>
            <a:graphicData uri="http://schemas.microsoft.com/office/drawing/2010/slicer">
              <sle:slicer xmlns:sle="http://schemas.microsoft.com/office/drawing/2010/slicer" name="Performance band 1"/>
            </a:graphicData>
          </a:graphic>
        </xdr:graphicFrame>
      </mc:Choice>
      <mc:Fallback>
        <xdr:sp macro="" textlink="">
          <xdr:nvSpPr>
            <xdr:cNvPr id="0" name=""/>
            <xdr:cNvSpPr>
              <a:spLocks noTextEdit="1"/>
            </xdr:cNvSpPr>
          </xdr:nvSpPr>
          <xdr:spPr>
            <a:xfrm>
              <a:off x="9166860" y="548640"/>
              <a:ext cx="1828800" cy="617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7.403609143519" createdVersion="8" refreshedVersion="8" minRefreshableVersion="3" recordCount="155" xr:uid="{4B5CC92C-EE13-4638-86A9-AB575872B3DB}">
  <cacheSource type="worksheet">
    <worksheetSource ref="A1:M1048576" sheet="Raw_Employee_Data"/>
  </cacheSource>
  <cacheFields count="13">
    <cacheField name="Emp ID" numFmtId="0">
      <sharedItems containsBlank="1" count="151">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m/>
      </sharedItems>
    </cacheField>
    <cacheField name="First_Name" numFmtId="0">
      <sharedItems containsBlank="1"/>
    </cacheField>
    <cacheField name="Last_Name" numFmtId="0">
      <sharedItems containsBlank="1"/>
    </cacheField>
    <cacheField name="Hire Date" numFmtId="14">
      <sharedItems containsNonDate="0" containsDate="1" containsString="0" containsBlank="1" minDate="2015-01-04T00:00:00" maxDate="2023-12-13T00:00:00"/>
    </cacheField>
    <cacheField name="pref score" numFmtId="0">
      <sharedItems containsString="0" containsBlank="1" containsNumber="1" containsInteger="1" minValue="30" maxValue="99"/>
    </cacheField>
    <cacheField name="Dept code" numFmtId="0">
      <sharedItems containsBlank="1" count="7">
        <s v="IT02"/>
        <s v="MKT04"/>
        <s v="FIN03"/>
        <s v="OPS06"/>
        <s v="SAL05"/>
        <s v="HR01"/>
        <m/>
      </sharedItems>
    </cacheField>
    <cacheField name="Employment status" numFmtId="0">
      <sharedItems containsBlank="1" count="4">
        <s v="Active"/>
        <s v="Left"/>
        <s v="Resigned"/>
        <m/>
      </sharedItems>
    </cacheField>
    <cacheField name="Salary" numFmtId="0">
      <sharedItems containsString="0" containsBlank="1" containsNumber="1" containsInteger="1" minValue="45196" maxValue="118947"/>
    </cacheField>
    <cacheField name="Full name" numFmtId="0">
      <sharedItems containsBlank="1"/>
    </cacheField>
    <cacheField name="Departemant Name" numFmtId="0">
      <sharedItems containsBlank="1" count="7">
        <s v="Information Technology"/>
        <s v="Marketing"/>
        <s v="Finance"/>
        <s v="Operations"/>
        <s v="Sales"/>
        <s v="Human Resources"/>
        <m/>
      </sharedItems>
    </cacheField>
    <cacheField name="year of service" numFmtId="0">
      <sharedItems containsString="0" containsBlank="1" containsNumber="1" containsInteger="1" minValue="2" maxValue="11"/>
    </cacheField>
    <cacheField name="Performance band" numFmtId="0">
      <sharedItems containsBlank="1" count="6">
        <s v="Developing"/>
        <s v="Achieving"/>
        <s v="Needs Improvement"/>
        <s v="Exceeding"/>
        <s v="Outstanding"/>
        <m/>
      </sharedItems>
    </cacheField>
    <cacheField name="Elegible bonus amount" numFmtId="0">
      <sharedItems containsString="0" containsBlank="1" containsNumber="1" minValue="0" maxValue="14273.64"/>
    </cacheField>
  </cacheFields>
  <extLst>
    <ext xmlns:x14="http://schemas.microsoft.com/office/spreadsheetml/2009/9/main" uri="{725AE2AE-9491-48be-B2B4-4EB974FC3084}">
      <x14:pivotCacheDefinition pivotCacheId="18459354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7.420851504627" createdVersion="8" refreshedVersion="8" minRefreshableVersion="3" recordCount="154" xr:uid="{3CE8DD96-DE8C-448E-84AD-80BD312623F2}">
  <cacheSource type="worksheet">
    <worksheetSource ref="A1:M155" sheet="Raw_Employee_Data"/>
  </cacheSource>
  <cacheFields count="13">
    <cacheField name="Emp ID" numFmtId="0">
      <sharedItems containsBlank="1" count="151">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 v="EMP021"/>
        <s v="EMP072"/>
        <s v="EMP107"/>
        <s v="EMP093"/>
        <s v="EMP103"/>
        <m/>
      </sharedItems>
    </cacheField>
    <cacheField name="First_Name" numFmtId="0">
      <sharedItems containsBlank="1"/>
    </cacheField>
    <cacheField name="Last_Name" numFmtId="0">
      <sharedItems containsBlank="1"/>
    </cacheField>
    <cacheField name="Hire Date" numFmtId="14">
      <sharedItems containsNonDate="0" containsDate="1" containsString="0" containsBlank="1" minDate="2015-01-04T00:00:00" maxDate="2023-12-13T00:00:00"/>
    </cacheField>
    <cacheField name="pref score" numFmtId="0">
      <sharedItems containsString="0" containsBlank="1" containsNumber="1" containsInteger="1" minValue="30" maxValue="99" count="59">
        <n v="52"/>
        <n v="74"/>
        <n v="54"/>
        <n v="70"/>
        <n v="40"/>
        <n v="49"/>
        <n v="45"/>
        <n v="79"/>
        <n v="58"/>
        <n v="62"/>
        <n v="48"/>
        <n v="77"/>
        <n v="42"/>
        <n v="93"/>
        <n v="75"/>
        <n v="50"/>
        <n v="88"/>
        <n v="64"/>
        <n v="32"/>
        <n v="59"/>
        <n v="90"/>
        <n v="66"/>
        <n v="68"/>
        <n v="80"/>
        <n v="72"/>
        <n v="78"/>
        <n v="30"/>
        <n v="98"/>
        <n v="71"/>
        <n v="55"/>
        <n v="76"/>
        <n v="84"/>
        <n v="53"/>
        <n v="63"/>
        <n v="96"/>
        <n v="95"/>
        <n v="65"/>
        <n v="33"/>
        <n v="91"/>
        <n v="46"/>
        <n v="99"/>
        <n v="87"/>
        <n v="36"/>
        <n v="97"/>
        <n v="67"/>
        <n v="34"/>
        <n v="61"/>
        <n v="94"/>
        <n v="81"/>
        <n v="57"/>
        <n v="69"/>
        <n v="51"/>
        <n v="82"/>
        <n v="83"/>
        <n v="38"/>
        <n v="35"/>
        <n v="92"/>
        <n v="73"/>
        <m/>
      </sharedItems>
    </cacheField>
    <cacheField name="Dept code" numFmtId="0">
      <sharedItems containsBlank="1"/>
    </cacheField>
    <cacheField name="Employment status" numFmtId="0">
      <sharedItems containsBlank="1" count="4">
        <s v="Active"/>
        <s v="Left"/>
        <s v="Resigned"/>
        <m/>
      </sharedItems>
    </cacheField>
    <cacheField name="Salary" numFmtId="0">
      <sharedItems containsString="0" containsBlank="1" containsNumber="1" containsInteger="1" minValue="45196" maxValue="118947"/>
    </cacheField>
    <cacheField name="Full name" numFmtId="0">
      <sharedItems containsBlank="1"/>
    </cacheField>
    <cacheField name="Departemant Name" numFmtId="0">
      <sharedItems containsBlank="1" count="7">
        <s v="Information Technology"/>
        <s v="Marketing"/>
        <s v="Finance"/>
        <s v="Operations"/>
        <s v="Sales"/>
        <s v="Human Resources"/>
        <m/>
      </sharedItems>
    </cacheField>
    <cacheField name="year of service" numFmtId="0">
      <sharedItems containsString="0" containsBlank="1" containsNumber="1" containsInteger="1" minValue="2" maxValue="11"/>
    </cacheField>
    <cacheField name="Performance band" numFmtId="0">
      <sharedItems containsBlank="1" count="6">
        <s v="Developing"/>
        <s v="Achieving"/>
        <s v="Needs Improvement"/>
        <s v="Exceeding"/>
        <s v="Outstanding"/>
        <m/>
      </sharedItems>
    </cacheField>
    <cacheField name="Elegible bonus amount" numFmtId="0">
      <sharedItems containsString="0" containsBlank="1" containsNumber="1" minValue="0" maxValue="14273.64"/>
    </cacheField>
  </cacheFields>
  <extLst>
    <ext xmlns:x14="http://schemas.microsoft.com/office/spreadsheetml/2009/9/main" uri="{725AE2AE-9491-48be-B2B4-4EB974FC3084}">
      <x14:pivotCacheDefinition pivotCacheId="10377667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s v="Emily"/>
    <s v="Brown"/>
    <d v="2017-12-24T00:00:00"/>
    <n v="52"/>
    <x v="0"/>
    <x v="0"/>
    <n v="50361"/>
    <s v="Emily Brown"/>
    <x v="0"/>
    <n v="8"/>
    <x v="0"/>
    <n v="1007.22"/>
  </r>
  <r>
    <x v="1"/>
    <s v="Richard"/>
    <s v="Hernandez"/>
    <d v="2022-04-08T00:00:00"/>
    <n v="74"/>
    <x v="1"/>
    <x v="0"/>
    <n v="112673"/>
    <s v="Richard Hernandez"/>
    <x v="1"/>
    <n v="4"/>
    <x v="1"/>
    <n v="5633.6500000000005"/>
  </r>
  <r>
    <x v="2"/>
    <s v="Emily"/>
    <s v="Gonzalez"/>
    <d v="2016-03-02T00:00:00"/>
    <n v="54"/>
    <x v="0"/>
    <x v="1"/>
    <n v="114425"/>
    <s v="Emily Gonzalez"/>
    <x v="0"/>
    <n v="10"/>
    <x v="0"/>
    <n v="2288.5"/>
  </r>
  <r>
    <x v="3"/>
    <s v="John"/>
    <s v="Martinez"/>
    <d v="2023-07-03T00:00:00"/>
    <n v="70"/>
    <x v="2"/>
    <x v="0"/>
    <n v="103831"/>
    <s v="John Martinez"/>
    <x v="2"/>
    <n v="3"/>
    <x v="1"/>
    <n v="5191.55"/>
  </r>
  <r>
    <x v="4"/>
    <s v="Thomas"/>
    <s v="Smith"/>
    <d v="2023-02-20T00:00:00"/>
    <n v="40"/>
    <x v="0"/>
    <x v="1"/>
    <n v="73785"/>
    <s v="Thomas Smith"/>
    <x v="0"/>
    <n v="3"/>
    <x v="2"/>
    <n v="0"/>
  </r>
  <r>
    <x v="5"/>
    <s v="Emily"/>
    <s v="Johnson"/>
    <d v="2020-03-02T00:00:00"/>
    <n v="49"/>
    <x v="3"/>
    <x v="0"/>
    <n v="115882"/>
    <s v="Emily Johnson"/>
    <x v="3"/>
    <n v="6"/>
    <x v="2"/>
    <n v="0"/>
  </r>
  <r>
    <x v="6"/>
    <s v="John"/>
    <s v="Wilson"/>
    <d v="2023-12-12T00:00:00"/>
    <n v="70"/>
    <x v="3"/>
    <x v="1"/>
    <n v="59980"/>
    <s v="John Wilson"/>
    <x v="3"/>
    <n v="2"/>
    <x v="1"/>
    <n v="2999"/>
  </r>
  <r>
    <x v="7"/>
    <s v="Jessica"/>
    <s v="Smith"/>
    <d v="2020-12-09T00:00:00"/>
    <n v="45"/>
    <x v="3"/>
    <x v="0"/>
    <n v="68728"/>
    <s v="Jessica Smith"/>
    <x v="3"/>
    <n v="5"/>
    <x v="2"/>
    <n v="0"/>
  </r>
  <r>
    <x v="8"/>
    <s v="unknown"/>
    <s v="Rodriguez"/>
    <d v="2018-01-07T00:00:00"/>
    <n v="79"/>
    <x v="2"/>
    <x v="0"/>
    <n v="102139"/>
    <s v="unknown Rodriguez"/>
    <x v="2"/>
    <n v="8"/>
    <x v="1"/>
    <n v="5106.9500000000007"/>
  </r>
  <r>
    <x v="9"/>
    <s v="Michael"/>
    <s v="Martinez"/>
    <d v="2016-11-02T00:00:00"/>
    <n v="58"/>
    <x v="4"/>
    <x v="0"/>
    <n v="94998"/>
    <s v="Michael Martinez"/>
    <x v="4"/>
    <n v="9"/>
    <x v="0"/>
    <n v="1899.96"/>
  </r>
  <r>
    <x v="10"/>
    <s v="Emily"/>
    <s v="Miller"/>
    <d v="2020-03-21T00:00:00"/>
    <n v="49"/>
    <x v="4"/>
    <x v="0"/>
    <n v="118635"/>
    <s v="Emily Miller"/>
    <x v="4"/>
    <n v="6"/>
    <x v="2"/>
    <n v="0"/>
  </r>
  <r>
    <x v="11"/>
    <s v="Emily"/>
    <s v="Hernandez"/>
    <d v="2016-02-25T00:00:00"/>
    <n v="62"/>
    <x v="0"/>
    <x v="0"/>
    <n v="76918"/>
    <s v="Emily Hernandez"/>
    <x v="0"/>
    <n v="10"/>
    <x v="0"/>
    <n v="1538.3600000000001"/>
  </r>
  <r>
    <x v="12"/>
    <s v="Jane"/>
    <s v="Williams"/>
    <d v="2021-06-17T00:00:00"/>
    <n v="48"/>
    <x v="1"/>
    <x v="0"/>
    <n v="61408"/>
    <s v="Jane Williams"/>
    <x v="1"/>
    <n v="5"/>
    <x v="2"/>
    <n v="0"/>
  </r>
  <r>
    <x v="13"/>
    <s v="Jane"/>
    <s v="Miller"/>
    <d v="2020-06-19T00:00:00"/>
    <n v="54"/>
    <x v="1"/>
    <x v="0"/>
    <n v="99990"/>
    <s v="Jane Miller"/>
    <x v="1"/>
    <n v="6"/>
    <x v="0"/>
    <n v="1999.8"/>
  </r>
  <r>
    <x v="14"/>
    <s v="Robert"/>
    <s v="Jones"/>
    <d v="2019-12-21T00:00:00"/>
    <n v="74"/>
    <x v="1"/>
    <x v="0"/>
    <n v="80385"/>
    <s v="Robert Jones"/>
    <x v="1"/>
    <n v="6"/>
    <x v="1"/>
    <n v="4019.25"/>
  </r>
  <r>
    <x v="15"/>
    <s v="Thomas"/>
    <s v="Rodriguez"/>
    <d v="2023-08-31T00:00:00"/>
    <n v="77"/>
    <x v="4"/>
    <x v="0"/>
    <n v="65290"/>
    <s v="Thomas Rodriguez"/>
    <x v="4"/>
    <n v="2"/>
    <x v="1"/>
    <n v="3264.5"/>
  </r>
  <r>
    <x v="16"/>
    <s v="Emily"/>
    <s v="Davis"/>
    <d v="2015-11-29T00:00:00"/>
    <n v="42"/>
    <x v="0"/>
    <x v="0"/>
    <n v="105765"/>
    <s v="Emily Davis"/>
    <x v="0"/>
    <n v="10"/>
    <x v="2"/>
    <n v="0"/>
  </r>
  <r>
    <x v="17"/>
    <s v="James"/>
    <s v="Martinez"/>
    <d v="2017-06-13T00:00:00"/>
    <n v="49"/>
    <x v="4"/>
    <x v="0"/>
    <n v="102921"/>
    <s v="James Martinez"/>
    <x v="4"/>
    <n v="9"/>
    <x v="2"/>
    <n v="0"/>
  </r>
  <r>
    <x v="18"/>
    <s v="Ashley"/>
    <s v="Lopez"/>
    <d v="2018-05-15T00:00:00"/>
    <n v="93"/>
    <x v="1"/>
    <x v="0"/>
    <n v="73984"/>
    <s v="Ashley Lopez"/>
    <x v="1"/>
    <n v="8"/>
    <x v="3"/>
    <n v="5918.72"/>
  </r>
  <r>
    <x v="19"/>
    <s v="Amanda"/>
    <s v="Gonzalez"/>
    <d v="2016-07-24T00:00:00"/>
    <n v="75"/>
    <x v="0"/>
    <x v="0"/>
    <n v="80014"/>
    <s v="Amanda Gonzalez"/>
    <x v="0"/>
    <n v="9"/>
    <x v="1"/>
    <n v="4000.7000000000003"/>
  </r>
  <r>
    <x v="20"/>
    <s v="Michael"/>
    <s v="Hernandez"/>
    <d v="2017-12-07T00:00:00"/>
    <n v="50"/>
    <x v="2"/>
    <x v="0"/>
    <n v="118527"/>
    <s v="Michael Hernandez"/>
    <x v="2"/>
    <n v="8"/>
    <x v="0"/>
    <n v="2370.54"/>
  </r>
  <r>
    <x v="21"/>
    <s v="Richard"/>
    <s v="Hernandez"/>
    <d v="2021-06-06T00:00:00"/>
    <n v="88"/>
    <x v="1"/>
    <x v="0"/>
    <n v="107871"/>
    <s v="Richard Hernandez"/>
    <x v="1"/>
    <n v="5"/>
    <x v="3"/>
    <n v="8629.68"/>
  </r>
  <r>
    <x v="22"/>
    <s v="Michael"/>
    <s v="Rodriguez"/>
    <d v="2022-09-11T00:00:00"/>
    <n v="50"/>
    <x v="0"/>
    <x v="1"/>
    <n v="93956"/>
    <s v="Michael Rodriguez"/>
    <x v="0"/>
    <n v="3"/>
    <x v="0"/>
    <n v="1879.1200000000001"/>
  </r>
  <r>
    <x v="23"/>
    <s v="Jessica"/>
    <s v="Johnson"/>
    <d v="2016-07-14T00:00:00"/>
    <n v="64"/>
    <x v="2"/>
    <x v="0"/>
    <n v="100851"/>
    <s v="Jessica Johnson"/>
    <x v="2"/>
    <n v="9"/>
    <x v="0"/>
    <n v="2017.02"/>
  </r>
  <r>
    <x v="24"/>
    <s v="Ashley"/>
    <s v="Williams"/>
    <d v="2022-06-16T00:00:00"/>
    <n v="32"/>
    <x v="4"/>
    <x v="0"/>
    <n v="68655"/>
    <s v="Ashley Williams"/>
    <x v="4"/>
    <n v="4"/>
    <x v="2"/>
    <n v="0"/>
  </r>
  <r>
    <x v="25"/>
    <s v="unknown"/>
    <s v="Williams"/>
    <d v="2023-07-27T00:00:00"/>
    <n v="59"/>
    <x v="4"/>
    <x v="0"/>
    <n v="81205"/>
    <s v="unknown Williams"/>
    <x v="4"/>
    <n v="2"/>
    <x v="0"/>
    <n v="1624.1000000000001"/>
  </r>
  <r>
    <x v="26"/>
    <s v="John"/>
    <s v="Wilson"/>
    <d v="2019-09-24T00:00:00"/>
    <n v="88"/>
    <x v="4"/>
    <x v="0"/>
    <n v="77610"/>
    <s v="John Wilson"/>
    <x v="4"/>
    <n v="6"/>
    <x v="3"/>
    <n v="6208.8"/>
  </r>
  <r>
    <x v="27"/>
    <s v="Thomas"/>
    <s v="Rodriguez"/>
    <d v="2022-07-23T00:00:00"/>
    <n v="90"/>
    <x v="0"/>
    <x v="0"/>
    <n v="50873"/>
    <s v="Thomas Rodriguez"/>
    <x v="0"/>
    <n v="3"/>
    <x v="3"/>
    <n v="4069.84"/>
  </r>
  <r>
    <x v="28"/>
    <s v="Michael"/>
    <s v="Wilson"/>
    <d v="2018-05-13T00:00:00"/>
    <n v="66"/>
    <x v="2"/>
    <x v="0"/>
    <n v="85312"/>
    <s v="Michael Wilson"/>
    <x v="2"/>
    <n v="8"/>
    <x v="0"/>
    <n v="1706.24"/>
  </r>
  <r>
    <x v="29"/>
    <s v="John"/>
    <s v="Rodriguez"/>
    <d v="2015-07-17T00:00:00"/>
    <n v="68"/>
    <x v="4"/>
    <x v="0"/>
    <n v="87282"/>
    <s v="John Rodriguez"/>
    <x v="4"/>
    <n v="10"/>
    <x v="0"/>
    <n v="1745.64"/>
  </r>
  <r>
    <x v="30"/>
    <s v="Thomas"/>
    <s v="Hernandez"/>
    <d v="2015-08-05T00:00:00"/>
    <n v="80"/>
    <x v="3"/>
    <x v="0"/>
    <n v="97055"/>
    <s v="Thomas Hernandez"/>
    <x v="3"/>
    <n v="10"/>
    <x v="1"/>
    <n v="4852.75"/>
  </r>
  <r>
    <x v="31"/>
    <s v="Michael"/>
    <s v="Johnson"/>
    <d v="2023-09-26T00:00:00"/>
    <n v="72"/>
    <x v="0"/>
    <x v="0"/>
    <n v="66069"/>
    <s v="Michael Johnson"/>
    <x v="0"/>
    <n v="2"/>
    <x v="1"/>
    <n v="3303.4500000000003"/>
  </r>
  <r>
    <x v="32"/>
    <s v="Sarah"/>
    <s v="Brown"/>
    <d v="2019-06-10T00:00:00"/>
    <n v="58"/>
    <x v="0"/>
    <x v="0"/>
    <n v="90157"/>
    <s v="Sarah Brown"/>
    <x v="0"/>
    <n v="7"/>
    <x v="0"/>
    <n v="1803.14"/>
  </r>
  <r>
    <x v="33"/>
    <s v="Jane"/>
    <s v="Martinez"/>
    <d v="2022-01-17T00:00:00"/>
    <n v="78"/>
    <x v="5"/>
    <x v="0"/>
    <n v="59899"/>
    <s v="Jane Martinez"/>
    <x v="5"/>
    <n v="4"/>
    <x v="1"/>
    <n v="2994.9500000000003"/>
  </r>
  <r>
    <x v="34"/>
    <s v="Emily"/>
    <s v="Jones"/>
    <d v="2017-07-03T00:00:00"/>
    <n v="30"/>
    <x v="2"/>
    <x v="0"/>
    <n v="113389"/>
    <s v="Emily Jones"/>
    <x v="2"/>
    <n v="9"/>
    <x v="2"/>
    <n v="0"/>
  </r>
  <r>
    <x v="35"/>
    <s v="unknown"/>
    <s v="Brown"/>
    <d v="2015-09-01T00:00:00"/>
    <n v="52"/>
    <x v="0"/>
    <x v="0"/>
    <n v="102691"/>
    <s v="unknown Brown"/>
    <x v="0"/>
    <n v="10"/>
    <x v="0"/>
    <n v="2053.8200000000002"/>
  </r>
  <r>
    <x v="36"/>
    <s v="John"/>
    <s v="Wilson"/>
    <d v="2022-08-03T00:00:00"/>
    <n v="98"/>
    <x v="3"/>
    <x v="0"/>
    <n v="111845"/>
    <s v="John Wilson"/>
    <x v="3"/>
    <n v="3"/>
    <x v="4"/>
    <n v="13421.4"/>
  </r>
  <r>
    <x v="37"/>
    <s v="Melissa"/>
    <s v="Brown"/>
    <d v="2022-06-29T00:00:00"/>
    <n v="93"/>
    <x v="4"/>
    <x v="0"/>
    <n v="69219"/>
    <s v="Melissa Brown"/>
    <x v="4"/>
    <n v="4"/>
    <x v="3"/>
    <n v="5537.52"/>
  </r>
  <r>
    <x v="38"/>
    <s v="Michael"/>
    <s v="Smith"/>
    <d v="2020-04-28T00:00:00"/>
    <n v="80"/>
    <x v="2"/>
    <x v="1"/>
    <n v="87938"/>
    <s v="Michael Smith"/>
    <x v="2"/>
    <n v="6"/>
    <x v="1"/>
    <n v="4396.9000000000005"/>
  </r>
  <r>
    <x v="39"/>
    <s v="Sarah"/>
    <s v="Miller"/>
    <d v="2017-09-09T00:00:00"/>
    <n v="70"/>
    <x v="3"/>
    <x v="0"/>
    <n v="57514"/>
    <s v="Sarah Miller"/>
    <x v="3"/>
    <n v="8"/>
    <x v="1"/>
    <n v="2875.7000000000003"/>
  </r>
  <r>
    <x v="40"/>
    <s v="Emily"/>
    <s v="Wilson"/>
    <d v="2018-03-22T00:00:00"/>
    <n v="71"/>
    <x v="4"/>
    <x v="1"/>
    <n v="86245"/>
    <s v="Emily Wilson"/>
    <x v="4"/>
    <n v="8"/>
    <x v="1"/>
    <n v="4312.25"/>
  </r>
  <r>
    <x v="41"/>
    <s v="David"/>
    <s v="Hernandez"/>
    <d v="2020-05-07T00:00:00"/>
    <n v="55"/>
    <x v="4"/>
    <x v="0"/>
    <n v="52407"/>
    <s v="David Hernandez"/>
    <x v="4"/>
    <n v="6"/>
    <x v="0"/>
    <n v="1048.1400000000001"/>
  </r>
  <r>
    <x v="42"/>
    <s v="James"/>
    <s v="Smith"/>
    <d v="2019-03-25T00:00:00"/>
    <n v="93"/>
    <x v="3"/>
    <x v="2"/>
    <n v="66606"/>
    <s v="James Smith"/>
    <x v="3"/>
    <n v="7"/>
    <x v="3"/>
    <n v="5328.4800000000005"/>
  </r>
  <r>
    <x v="43"/>
    <s v="Sarah"/>
    <s v="Williams"/>
    <d v="2019-08-09T00:00:00"/>
    <n v="79"/>
    <x v="0"/>
    <x v="2"/>
    <n v="81896"/>
    <s v="Sarah Williams"/>
    <x v="0"/>
    <n v="6"/>
    <x v="1"/>
    <n v="4094.8"/>
  </r>
  <r>
    <x v="44"/>
    <s v="Amanda"/>
    <s v="Lopez"/>
    <d v="2016-07-14T00:00:00"/>
    <n v="54"/>
    <x v="4"/>
    <x v="0"/>
    <n v="78402"/>
    <s v="Amanda Lopez"/>
    <x v="4"/>
    <n v="9"/>
    <x v="0"/>
    <n v="1568.04"/>
  </r>
  <r>
    <x v="45"/>
    <s v="Thomas"/>
    <s v="Lopez"/>
    <d v="2016-10-04T00:00:00"/>
    <n v="76"/>
    <x v="3"/>
    <x v="0"/>
    <n v="105498"/>
    <s v="Thomas Lopez"/>
    <x v="3"/>
    <n v="9"/>
    <x v="1"/>
    <n v="5274.9000000000005"/>
  </r>
  <r>
    <x v="46"/>
    <s v="Melissa"/>
    <s v="Johnson"/>
    <d v="2019-07-10T00:00:00"/>
    <n v="72"/>
    <x v="1"/>
    <x v="1"/>
    <n v="91749"/>
    <s v="Melissa Johnson"/>
    <x v="1"/>
    <n v="6"/>
    <x v="1"/>
    <n v="4587.45"/>
  </r>
  <r>
    <x v="47"/>
    <s v="Amanda"/>
    <s v="Johnson"/>
    <d v="2021-08-29T00:00:00"/>
    <n v="84"/>
    <x v="3"/>
    <x v="2"/>
    <n v="99935"/>
    <s v="Amanda Johnson"/>
    <x v="3"/>
    <n v="4"/>
    <x v="1"/>
    <n v="4996.75"/>
  </r>
  <r>
    <x v="48"/>
    <s v="John"/>
    <s v="Davis"/>
    <d v="2017-01-26T00:00:00"/>
    <n v="30"/>
    <x v="0"/>
    <x v="1"/>
    <n v="83531"/>
    <s v="John Davis"/>
    <x v="0"/>
    <n v="9"/>
    <x v="2"/>
    <n v="0"/>
  </r>
  <r>
    <x v="49"/>
    <s v="James"/>
    <s v="Johnson"/>
    <d v="2020-05-30T00:00:00"/>
    <n v="74"/>
    <x v="1"/>
    <x v="0"/>
    <n v="75023"/>
    <s v="James Johnson"/>
    <x v="1"/>
    <n v="6"/>
    <x v="1"/>
    <n v="3751.15"/>
  </r>
  <r>
    <x v="50"/>
    <s v="Jane"/>
    <s v="Davis"/>
    <d v="2022-02-20T00:00:00"/>
    <n v="53"/>
    <x v="5"/>
    <x v="0"/>
    <n v="93290"/>
    <s v="Jane Davis"/>
    <x v="5"/>
    <n v="4"/>
    <x v="0"/>
    <n v="1865.8"/>
  </r>
  <r>
    <x v="51"/>
    <s v="Richard"/>
    <s v="Davis"/>
    <d v="2016-09-15T00:00:00"/>
    <n v="63"/>
    <x v="3"/>
    <x v="2"/>
    <n v="115527"/>
    <s v="Richard Davis"/>
    <x v="3"/>
    <n v="9"/>
    <x v="0"/>
    <n v="2310.54"/>
  </r>
  <r>
    <x v="52"/>
    <s v="Thomas"/>
    <s v="Rodriguez"/>
    <d v="2019-10-07T00:00:00"/>
    <n v="84"/>
    <x v="2"/>
    <x v="0"/>
    <n v="55920"/>
    <s v="Thomas Rodriguez"/>
    <x v="2"/>
    <n v="6"/>
    <x v="1"/>
    <n v="2796"/>
  </r>
  <r>
    <x v="53"/>
    <s v="Emily"/>
    <s v="Johnson"/>
    <d v="2018-12-30T00:00:00"/>
    <n v="30"/>
    <x v="4"/>
    <x v="0"/>
    <n v="80189"/>
    <s v="Emily Johnson"/>
    <x v="4"/>
    <n v="7"/>
    <x v="2"/>
    <n v="0"/>
  </r>
  <r>
    <x v="54"/>
    <s v="Emily"/>
    <s v="Garcia"/>
    <d v="2020-12-24T00:00:00"/>
    <n v="96"/>
    <x v="5"/>
    <x v="0"/>
    <n v="118947"/>
    <s v="Emily Garcia"/>
    <x v="5"/>
    <n v="5"/>
    <x v="4"/>
    <n v="14273.64"/>
  </r>
  <r>
    <x v="55"/>
    <s v="Jane"/>
    <s v="Anderson"/>
    <d v="2023-07-05T00:00:00"/>
    <n v="54"/>
    <x v="0"/>
    <x v="0"/>
    <n v="80014"/>
    <s v="Jane Anderson"/>
    <x v="0"/>
    <n v="2"/>
    <x v="0"/>
    <n v="1600.28"/>
  </r>
  <r>
    <x v="56"/>
    <s v="Thomas"/>
    <s v="Garcia"/>
    <d v="2020-11-13T00:00:00"/>
    <n v="75"/>
    <x v="3"/>
    <x v="0"/>
    <n v="79787"/>
    <s v="Thomas Garcia"/>
    <x v="3"/>
    <n v="5"/>
    <x v="1"/>
    <n v="3989.3500000000004"/>
  </r>
  <r>
    <x v="57"/>
    <s v="David"/>
    <s v="Martinez"/>
    <d v="2018-02-07T00:00:00"/>
    <n v="95"/>
    <x v="5"/>
    <x v="0"/>
    <n v="91655"/>
    <s v="David Martinez"/>
    <x v="5"/>
    <n v="8"/>
    <x v="4"/>
    <n v="10998.6"/>
  </r>
  <r>
    <x v="58"/>
    <s v="Emily"/>
    <s v="Brown"/>
    <d v="2023-11-25T00:00:00"/>
    <n v="65"/>
    <x v="0"/>
    <x v="1"/>
    <n v="49435"/>
    <s v="Emily Brown"/>
    <x v="0"/>
    <n v="2"/>
    <x v="0"/>
    <n v="988.7"/>
  </r>
  <r>
    <x v="59"/>
    <s v="Emily"/>
    <s v="Wilson"/>
    <d v="2023-10-18T00:00:00"/>
    <n v="93"/>
    <x v="4"/>
    <x v="0"/>
    <n v="110381"/>
    <s v="Emily Wilson"/>
    <x v="4"/>
    <n v="2"/>
    <x v="3"/>
    <n v="8830.48"/>
  </r>
  <r>
    <x v="60"/>
    <s v="Michael"/>
    <s v="Anderson"/>
    <d v="2020-09-05T00:00:00"/>
    <n v="33"/>
    <x v="5"/>
    <x v="0"/>
    <n v="114748"/>
    <s v="Michael Anderson"/>
    <x v="5"/>
    <n v="5"/>
    <x v="2"/>
    <n v="0"/>
  </r>
  <r>
    <x v="61"/>
    <s v="Robert"/>
    <s v="Johnson"/>
    <d v="2017-03-06T00:00:00"/>
    <n v="91"/>
    <x v="3"/>
    <x v="0"/>
    <n v="63302"/>
    <s v="Robert Johnson"/>
    <x v="3"/>
    <n v="9"/>
    <x v="3"/>
    <n v="5064.16"/>
  </r>
  <r>
    <x v="62"/>
    <s v="Robert"/>
    <s v="Miller"/>
    <d v="2015-04-28T00:00:00"/>
    <n v="64"/>
    <x v="0"/>
    <x v="0"/>
    <n v="75519"/>
    <s v="Robert Miller"/>
    <x v="0"/>
    <n v="11"/>
    <x v="0"/>
    <n v="1510.38"/>
  </r>
  <r>
    <x v="63"/>
    <s v="Jane"/>
    <s v="Davis"/>
    <d v="2017-04-13T00:00:00"/>
    <n v="80"/>
    <x v="2"/>
    <x v="0"/>
    <n v="103891"/>
    <s v="Jane Davis"/>
    <x v="2"/>
    <n v="9"/>
    <x v="1"/>
    <n v="5194.55"/>
  </r>
  <r>
    <x v="64"/>
    <s v="Thomas"/>
    <s v="Davis"/>
    <d v="2022-09-23T00:00:00"/>
    <n v="46"/>
    <x v="3"/>
    <x v="1"/>
    <n v="79787"/>
    <s v="Thomas Davis"/>
    <x v="3"/>
    <n v="3"/>
    <x v="2"/>
    <n v="0"/>
  </r>
  <r>
    <x v="65"/>
    <s v="Thomas"/>
    <s v="Jones"/>
    <d v="2016-11-11T00:00:00"/>
    <n v="99"/>
    <x v="1"/>
    <x v="0"/>
    <n v="50936"/>
    <s v="Thomas Jones"/>
    <x v="1"/>
    <n v="9"/>
    <x v="4"/>
    <n v="6112.32"/>
  </r>
  <r>
    <x v="66"/>
    <s v="Michael"/>
    <s v="Miller"/>
    <d v="2017-03-24T00:00:00"/>
    <n v="64"/>
    <x v="4"/>
    <x v="0"/>
    <n v="111240"/>
    <s v="Michael Miller"/>
    <x v="4"/>
    <n v="9"/>
    <x v="0"/>
    <n v="2224.8000000000002"/>
  </r>
  <r>
    <x v="67"/>
    <s v="Richard"/>
    <s v="Gonzalez"/>
    <d v="2019-05-05T00:00:00"/>
    <n v="87"/>
    <x v="5"/>
    <x v="2"/>
    <n v="51567"/>
    <s v="Richard Gonzalez"/>
    <x v="5"/>
    <n v="7"/>
    <x v="3"/>
    <n v="4125.3599999999997"/>
  </r>
  <r>
    <x v="68"/>
    <s v="Melissa"/>
    <s v="Williams"/>
    <d v="2021-07-25T00:00:00"/>
    <n v="36"/>
    <x v="5"/>
    <x v="0"/>
    <n v="85650"/>
    <s v="Melissa Williams"/>
    <x v="5"/>
    <n v="4"/>
    <x v="2"/>
    <n v="0"/>
  </r>
  <r>
    <x v="69"/>
    <s v="Robert"/>
    <s v="Miller"/>
    <d v="2017-09-30T00:00:00"/>
    <n v="87"/>
    <x v="5"/>
    <x v="0"/>
    <n v="55270"/>
    <s v="Robert Miller"/>
    <x v="5"/>
    <n v="8"/>
    <x v="3"/>
    <n v="4421.6000000000004"/>
  </r>
  <r>
    <x v="70"/>
    <s v="William"/>
    <s v="Garcia"/>
    <d v="2015-07-07T00:00:00"/>
    <n v="97"/>
    <x v="4"/>
    <x v="0"/>
    <n v="65235"/>
    <s v="William Garcia"/>
    <x v="4"/>
    <n v="10"/>
    <x v="4"/>
    <n v="7828.2"/>
  </r>
  <r>
    <x v="71"/>
    <s v="John"/>
    <s v="Gonzalez"/>
    <d v="2018-07-02T00:00:00"/>
    <n v="72"/>
    <x v="4"/>
    <x v="1"/>
    <n v="87282"/>
    <s v="John Gonzalez"/>
    <x v="4"/>
    <n v="8"/>
    <x v="1"/>
    <n v="4364.1000000000004"/>
  </r>
  <r>
    <x v="72"/>
    <s v="James"/>
    <s v="Gonzalez"/>
    <d v="2022-09-15T00:00:00"/>
    <n v="65"/>
    <x v="4"/>
    <x v="1"/>
    <n v="87282"/>
    <s v="James Gonzalez"/>
    <x v="4"/>
    <n v="3"/>
    <x v="0"/>
    <n v="1745.64"/>
  </r>
  <r>
    <x v="73"/>
    <s v="Jane"/>
    <s v="Gonzalez"/>
    <d v="2015-09-02T00:00:00"/>
    <n v="67"/>
    <x v="4"/>
    <x v="0"/>
    <n v="87282"/>
    <s v="Jane Gonzalez"/>
    <x v="4"/>
    <n v="10"/>
    <x v="0"/>
    <n v="1745.64"/>
  </r>
  <r>
    <x v="74"/>
    <s v="David"/>
    <s v="Wilson"/>
    <d v="2016-10-11T00:00:00"/>
    <n v="34"/>
    <x v="3"/>
    <x v="0"/>
    <n v="48823"/>
    <s v="David Wilson"/>
    <x v="3"/>
    <n v="9"/>
    <x v="2"/>
    <n v="0"/>
  </r>
  <r>
    <x v="75"/>
    <s v="Jane"/>
    <s v="Gonzalez"/>
    <d v="2019-04-20T00:00:00"/>
    <n v="78"/>
    <x v="2"/>
    <x v="1"/>
    <n v="45196"/>
    <s v="Jane Gonzalez"/>
    <x v="2"/>
    <n v="7"/>
    <x v="1"/>
    <n v="2259.8000000000002"/>
  </r>
  <r>
    <x v="76"/>
    <s v="Jane"/>
    <s v="Rodriguez"/>
    <d v="2017-02-19T00:00:00"/>
    <n v="61"/>
    <x v="0"/>
    <x v="0"/>
    <n v="86246"/>
    <s v="Jane Rodriguez"/>
    <x v="0"/>
    <n v="9"/>
    <x v="0"/>
    <n v="1724.92"/>
  </r>
  <r>
    <x v="77"/>
    <s v="Emily"/>
    <s v="Miller"/>
    <d v="2021-09-07T00:00:00"/>
    <n v="74"/>
    <x v="4"/>
    <x v="1"/>
    <n v="70359"/>
    <s v="Emily Miller"/>
    <x v="4"/>
    <n v="4"/>
    <x v="1"/>
    <n v="3517.9500000000003"/>
  </r>
  <r>
    <x v="78"/>
    <s v="Sarah"/>
    <s v="Miller"/>
    <d v="2019-05-14T00:00:00"/>
    <n v="94"/>
    <x v="1"/>
    <x v="0"/>
    <n v="85508"/>
    <s v="Sarah Miller"/>
    <x v="1"/>
    <n v="7"/>
    <x v="3"/>
    <n v="6840.64"/>
  </r>
  <r>
    <x v="79"/>
    <s v="Jessica"/>
    <s v="Garcia"/>
    <d v="2015-11-22T00:00:00"/>
    <n v="70"/>
    <x v="3"/>
    <x v="0"/>
    <n v="86480"/>
    <s v="Jessica Garcia"/>
    <x v="3"/>
    <n v="10"/>
    <x v="1"/>
    <n v="4324"/>
  </r>
  <r>
    <x v="80"/>
    <s v="Richard"/>
    <s v="Smith"/>
    <d v="2018-09-29T00:00:00"/>
    <n v="75"/>
    <x v="5"/>
    <x v="0"/>
    <n v="47694"/>
    <s v="Richard Smith"/>
    <x v="5"/>
    <n v="7"/>
    <x v="1"/>
    <n v="2384.7000000000003"/>
  </r>
  <r>
    <x v="81"/>
    <s v="Melissa"/>
    <s v="Wilson"/>
    <d v="2023-09-02T00:00:00"/>
    <n v="81"/>
    <x v="0"/>
    <x v="2"/>
    <n v="83724"/>
    <s v="Melissa Wilson"/>
    <x v="0"/>
    <n v="2"/>
    <x v="1"/>
    <n v="4186.2"/>
  </r>
  <r>
    <x v="82"/>
    <s v="Thomas"/>
    <s v="Williams"/>
    <d v="2022-07-17T00:00:00"/>
    <n v="61"/>
    <x v="2"/>
    <x v="0"/>
    <n v="98299"/>
    <s v="Thomas Williams"/>
    <x v="2"/>
    <n v="3"/>
    <x v="0"/>
    <n v="1965.98"/>
  </r>
  <r>
    <x v="83"/>
    <s v="David"/>
    <s v="Williams"/>
    <d v="2021-02-07T00:00:00"/>
    <n v="68"/>
    <x v="2"/>
    <x v="0"/>
    <n v="87938"/>
    <s v="David Williams"/>
    <x v="2"/>
    <n v="5"/>
    <x v="0"/>
    <n v="1758.76"/>
  </r>
  <r>
    <x v="84"/>
    <s v="John"/>
    <s v="Johnson"/>
    <d v="2023-10-04T00:00:00"/>
    <n v="70"/>
    <x v="0"/>
    <x v="0"/>
    <n v="52287"/>
    <s v="John Johnson"/>
    <x v="0"/>
    <n v="2"/>
    <x v="1"/>
    <n v="2614.3500000000004"/>
  </r>
  <r>
    <x v="85"/>
    <s v="Richard"/>
    <s v="Gonzalez"/>
    <d v="2020-08-30T00:00:00"/>
    <n v="98"/>
    <x v="0"/>
    <x v="0"/>
    <n v="82633"/>
    <s v="Richard Gonzalez"/>
    <x v="0"/>
    <n v="5"/>
    <x v="4"/>
    <n v="9915.9599999999991"/>
  </r>
  <r>
    <x v="86"/>
    <s v="Melissa"/>
    <s v="Anderson"/>
    <d v="2021-08-14T00:00:00"/>
    <n v="34"/>
    <x v="3"/>
    <x v="0"/>
    <n v="46508"/>
    <s v="Melissa Anderson"/>
    <x v="3"/>
    <n v="4"/>
    <x v="2"/>
    <n v="0"/>
  </r>
  <r>
    <x v="87"/>
    <s v="Emily"/>
    <s v="Gonzalez"/>
    <d v="2019-11-27T00:00:00"/>
    <n v="93"/>
    <x v="5"/>
    <x v="0"/>
    <n v="86232"/>
    <s v="Emily Gonzalez"/>
    <x v="5"/>
    <n v="6"/>
    <x v="3"/>
    <n v="6898.56"/>
  </r>
  <r>
    <x v="88"/>
    <s v="Jane"/>
    <s v="Davis"/>
    <d v="2017-05-25T00:00:00"/>
    <n v="48"/>
    <x v="0"/>
    <x v="0"/>
    <n v="77545"/>
    <s v="Jane Davis"/>
    <x v="0"/>
    <n v="9"/>
    <x v="2"/>
    <n v="0"/>
  </r>
  <r>
    <x v="89"/>
    <s v="William"/>
    <s v="Gonzalez"/>
    <d v="2018-12-02T00:00:00"/>
    <n v="90"/>
    <x v="3"/>
    <x v="0"/>
    <n v="68683"/>
    <s v="William Gonzalez"/>
    <x v="3"/>
    <n v="7"/>
    <x v="3"/>
    <n v="5494.64"/>
  </r>
  <r>
    <x v="90"/>
    <s v="Thomas"/>
    <s v="Jones"/>
    <d v="2019-06-23T00:00:00"/>
    <n v="57"/>
    <x v="2"/>
    <x v="1"/>
    <n v="83932"/>
    <s v="Thomas Jones"/>
    <x v="2"/>
    <n v="7"/>
    <x v="0"/>
    <n v="1678.64"/>
  </r>
  <r>
    <x v="91"/>
    <s v="Jessica"/>
    <s v="Anderson"/>
    <d v="2015-10-27T00:00:00"/>
    <n v="79"/>
    <x v="5"/>
    <x v="0"/>
    <n v="56073"/>
    <s v="Jessica Anderson"/>
    <x v="5"/>
    <n v="10"/>
    <x v="1"/>
    <n v="2803.65"/>
  </r>
  <r>
    <x v="92"/>
    <s v="Melissa"/>
    <s v="Johnson"/>
    <d v="2018-06-19T00:00:00"/>
    <n v="66"/>
    <x v="0"/>
    <x v="0"/>
    <n v="88056"/>
    <s v="Melissa Johnson"/>
    <x v="0"/>
    <n v="8"/>
    <x v="0"/>
    <n v="1761.1200000000001"/>
  </r>
  <r>
    <x v="93"/>
    <s v="Thomas"/>
    <s v="Miller"/>
    <d v="2018-01-12T00:00:00"/>
    <n v="84"/>
    <x v="3"/>
    <x v="1"/>
    <n v="67414"/>
    <s v="Thomas Miller"/>
    <x v="3"/>
    <n v="8"/>
    <x v="1"/>
    <n v="3370.7000000000003"/>
  </r>
  <r>
    <x v="94"/>
    <s v="William"/>
    <s v="Gonzalez"/>
    <d v="2015-01-04T00:00:00"/>
    <n v="61"/>
    <x v="4"/>
    <x v="0"/>
    <n v="115288"/>
    <s v="William Gonzalez"/>
    <x v="4"/>
    <n v="11"/>
    <x v="0"/>
    <n v="2305.7600000000002"/>
  </r>
  <r>
    <x v="95"/>
    <s v="unknown"/>
    <s v="Smith"/>
    <d v="2018-12-05T00:00:00"/>
    <n v="58"/>
    <x v="4"/>
    <x v="0"/>
    <n v="80140"/>
    <s v="unknown Smith"/>
    <x v="4"/>
    <n v="7"/>
    <x v="0"/>
    <n v="1602.8"/>
  </r>
  <r>
    <x v="96"/>
    <s v="John"/>
    <s v="Johnson"/>
    <d v="2021-10-13T00:00:00"/>
    <n v="69"/>
    <x v="0"/>
    <x v="0"/>
    <n v="73087"/>
    <s v="John Johnson"/>
    <x v="0"/>
    <n v="4"/>
    <x v="0"/>
    <n v="1461.74"/>
  </r>
  <r>
    <x v="97"/>
    <s v="Jane"/>
    <s v="Johnson"/>
    <d v="2020-09-07T00:00:00"/>
    <n v="34"/>
    <x v="4"/>
    <x v="0"/>
    <n v="95292"/>
    <s v="Jane Johnson"/>
    <x v="4"/>
    <n v="5"/>
    <x v="2"/>
    <n v="0"/>
  </r>
  <r>
    <x v="98"/>
    <s v="John"/>
    <s v="Jones"/>
    <d v="2019-03-08T00:00:00"/>
    <n v="33"/>
    <x v="0"/>
    <x v="0"/>
    <n v="80014"/>
    <s v="John Jones"/>
    <x v="0"/>
    <n v="7"/>
    <x v="2"/>
    <n v="0"/>
  </r>
  <r>
    <x v="99"/>
    <s v="Jane"/>
    <s v="Lopez"/>
    <d v="2015-03-11T00:00:00"/>
    <n v="84"/>
    <x v="1"/>
    <x v="1"/>
    <n v="101750"/>
    <s v="Jane Lopez"/>
    <x v="1"/>
    <n v="11"/>
    <x v="1"/>
    <n v="5087.5"/>
  </r>
  <r>
    <x v="100"/>
    <s v="Melissa"/>
    <s v="Gonzalez"/>
    <d v="2017-02-19T00:00:00"/>
    <n v="79"/>
    <x v="1"/>
    <x v="0"/>
    <n v="82992"/>
    <s v="Melissa Gonzalez"/>
    <x v="1"/>
    <n v="9"/>
    <x v="1"/>
    <n v="4149.6000000000004"/>
  </r>
  <r>
    <x v="101"/>
    <s v="William"/>
    <s v="Davis"/>
    <d v="2023-05-09T00:00:00"/>
    <n v="51"/>
    <x v="0"/>
    <x v="0"/>
    <n v="49942"/>
    <s v="William Davis"/>
    <x v="0"/>
    <n v="3"/>
    <x v="0"/>
    <n v="998.84"/>
  </r>
  <r>
    <x v="102"/>
    <s v="John"/>
    <s v="Smith"/>
    <d v="2018-01-22T00:00:00"/>
    <n v="58"/>
    <x v="3"/>
    <x v="0"/>
    <n v="89060"/>
    <s v="John Smith"/>
    <x v="3"/>
    <n v="8"/>
    <x v="0"/>
    <n v="1781.2"/>
  </r>
  <r>
    <x v="103"/>
    <s v="James"/>
    <s v="Gonzalez"/>
    <d v="2020-02-18T00:00:00"/>
    <n v="98"/>
    <x v="0"/>
    <x v="0"/>
    <n v="53786"/>
    <s v="James Gonzalez"/>
    <x v="0"/>
    <n v="6"/>
    <x v="4"/>
    <n v="6454.32"/>
  </r>
  <r>
    <x v="104"/>
    <s v="Emily"/>
    <s v="Johnson"/>
    <d v="2016-05-22T00:00:00"/>
    <n v="70"/>
    <x v="3"/>
    <x v="0"/>
    <n v="81167"/>
    <s v="Emily Johnson"/>
    <x v="3"/>
    <n v="10"/>
    <x v="1"/>
    <n v="4058.3500000000004"/>
  </r>
  <r>
    <x v="105"/>
    <s v="William"/>
    <s v="Williams"/>
    <d v="2021-06-02T00:00:00"/>
    <n v="40"/>
    <x v="1"/>
    <x v="1"/>
    <n v="66688"/>
    <s v="William Williams"/>
    <x v="1"/>
    <n v="5"/>
    <x v="2"/>
    <n v="0"/>
  </r>
  <r>
    <x v="106"/>
    <s v="James"/>
    <s v="Jones"/>
    <d v="2021-07-17T00:00:00"/>
    <n v="88"/>
    <x v="0"/>
    <x v="0"/>
    <n v="91672"/>
    <s v="James Jones"/>
    <x v="0"/>
    <n v="4"/>
    <x v="3"/>
    <n v="7333.76"/>
  </r>
  <r>
    <x v="107"/>
    <s v="Jessica"/>
    <s v="Gonzalez"/>
    <d v="2016-11-13T00:00:00"/>
    <n v="77"/>
    <x v="5"/>
    <x v="0"/>
    <n v="77737"/>
    <s v="Jessica Gonzalez"/>
    <x v="5"/>
    <n v="9"/>
    <x v="1"/>
    <n v="3886.8500000000004"/>
  </r>
  <r>
    <x v="108"/>
    <s v="Sarah"/>
    <s v="Miller"/>
    <d v="2019-02-17T00:00:00"/>
    <n v="91"/>
    <x v="4"/>
    <x v="0"/>
    <n v="95686"/>
    <s v="Sarah Miller"/>
    <x v="4"/>
    <n v="7"/>
    <x v="3"/>
    <n v="7654.88"/>
  </r>
  <r>
    <x v="109"/>
    <s v="Jessica"/>
    <s v="Smith"/>
    <d v="2016-09-12T00:00:00"/>
    <n v="36"/>
    <x v="4"/>
    <x v="0"/>
    <n v="114681"/>
    <s v="Jessica Smith"/>
    <x v="4"/>
    <n v="9"/>
    <x v="2"/>
    <n v="0"/>
  </r>
  <r>
    <x v="110"/>
    <s v="Thomas"/>
    <s v="Jones"/>
    <d v="2021-08-13T00:00:00"/>
    <n v="72"/>
    <x v="3"/>
    <x v="0"/>
    <n v="109121"/>
    <s v="Thomas Jones"/>
    <x v="3"/>
    <n v="4"/>
    <x v="1"/>
    <n v="5456.05"/>
  </r>
  <r>
    <x v="111"/>
    <s v="Amanda"/>
    <s v="Brown"/>
    <d v="2020-06-14T00:00:00"/>
    <n v="87"/>
    <x v="1"/>
    <x v="0"/>
    <n v="112791"/>
    <s v="Amanda Brown"/>
    <x v="1"/>
    <n v="6"/>
    <x v="3"/>
    <n v="9023.2800000000007"/>
  </r>
  <r>
    <x v="112"/>
    <s v="Robert"/>
    <s v="Martinez"/>
    <d v="2022-07-05T00:00:00"/>
    <n v="71"/>
    <x v="0"/>
    <x v="0"/>
    <n v="118008"/>
    <s v="Robert Martinez"/>
    <x v="0"/>
    <n v="3"/>
    <x v="1"/>
    <n v="5900.4000000000005"/>
  </r>
  <r>
    <x v="113"/>
    <s v="Thomas"/>
    <s v="Miller"/>
    <d v="2016-07-10T00:00:00"/>
    <n v="82"/>
    <x v="0"/>
    <x v="0"/>
    <n v="74370"/>
    <s v="Thomas Miller"/>
    <x v="0"/>
    <n v="9"/>
    <x v="1"/>
    <n v="3718.5"/>
  </r>
  <r>
    <x v="114"/>
    <s v="David"/>
    <s v="Rodriguez"/>
    <d v="2022-04-23T00:00:00"/>
    <n v="79"/>
    <x v="0"/>
    <x v="0"/>
    <n v="77819"/>
    <s v="David Rodriguez"/>
    <x v="0"/>
    <n v="4"/>
    <x v="1"/>
    <n v="3890.9500000000003"/>
  </r>
  <r>
    <x v="115"/>
    <s v="Jane"/>
    <s v="Miller"/>
    <d v="2017-05-10T00:00:00"/>
    <n v="83"/>
    <x v="1"/>
    <x v="0"/>
    <n v="48748"/>
    <s v="Jane Miller"/>
    <x v="1"/>
    <n v="9"/>
    <x v="1"/>
    <n v="2437.4"/>
  </r>
  <r>
    <x v="116"/>
    <s v="James"/>
    <s v="Rodriguez"/>
    <d v="2020-05-20T00:00:00"/>
    <n v="38"/>
    <x v="3"/>
    <x v="2"/>
    <n v="101997"/>
    <s v="James Rodriguez"/>
    <x v="3"/>
    <n v="6"/>
    <x v="2"/>
    <n v="0"/>
  </r>
  <r>
    <x v="117"/>
    <s v="Sarah"/>
    <s v="Rodriguez"/>
    <d v="2023-04-20T00:00:00"/>
    <n v="77"/>
    <x v="5"/>
    <x v="0"/>
    <n v="115260"/>
    <s v="Sarah Rodriguez"/>
    <x v="5"/>
    <n v="3"/>
    <x v="1"/>
    <n v="5763"/>
  </r>
  <r>
    <x v="118"/>
    <s v="Sarah"/>
    <s v="Wilson"/>
    <d v="2021-10-31T00:00:00"/>
    <n v="49"/>
    <x v="4"/>
    <x v="0"/>
    <n v="87282"/>
    <s v="Sarah Wilson"/>
    <x v="4"/>
    <n v="4"/>
    <x v="2"/>
    <n v="0"/>
  </r>
  <r>
    <x v="119"/>
    <s v="Melissa"/>
    <s v="Brown"/>
    <d v="2021-10-24T00:00:00"/>
    <n v="69"/>
    <x v="0"/>
    <x v="1"/>
    <n v="80014"/>
    <s v="Melissa Brown"/>
    <x v="0"/>
    <n v="4"/>
    <x v="0"/>
    <n v="1600.28"/>
  </r>
  <r>
    <x v="120"/>
    <s v="Robert"/>
    <s v="Williams"/>
    <d v="2017-08-09T00:00:00"/>
    <n v="76"/>
    <x v="4"/>
    <x v="0"/>
    <n v="87282"/>
    <s v="Robert Williams"/>
    <x v="4"/>
    <n v="8"/>
    <x v="1"/>
    <n v="4364.1000000000004"/>
  </r>
  <r>
    <x v="121"/>
    <s v="Melissa"/>
    <s v="Rodriguez"/>
    <d v="2023-01-04T00:00:00"/>
    <n v="78"/>
    <x v="3"/>
    <x v="0"/>
    <n v="60623"/>
    <s v="Melissa Rodriguez"/>
    <x v="3"/>
    <n v="3"/>
    <x v="1"/>
    <n v="3031.15"/>
  </r>
  <r>
    <x v="122"/>
    <s v="James"/>
    <s v="Johnson"/>
    <d v="2020-08-10T00:00:00"/>
    <n v="93"/>
    <x v="5"/>
    <x v="0"/>
    <n v="68092"/>
    <s v="James Johnson"/>
    <x v="5"/>
    <n v="5"/>
    <x v="3"/>
    <n v="5447.36"/>
  </r>
  <r>
    <x v="123"/>
    <s v="Michael"/>
    <s v="Wilson"/>
    <d v="2022-04-02T00:00:00"/>
    <n v="68"/>
    <x v="1"/>
    <x v="0"/>
    <n v="88155"/>
    <s v="Michael Wilson"/>
    <x v="1"/>
    <n v="4"/>
    <x v="0"/>
    <n v="1763.1000000000001"/>
  </r>
  <r>
    <x v="124"/>
    <s v="William"/>
    <s v="Jones"/>
    <d v="2018-03-24T00:00:00"/>
    <n v="42"/>
    <x v="1"/>
    <x v="0"/>
    <n v="107903"/>
    <s v="William Jones"/>
    <x v="1"/>
    <n v="8"/>
    <x v="2"/>
    <n v="0"/>
  </r>
  <r>
    <x v="125"/>
    <s v="William"/>
    <s v="Williams"/>
    <d v="2018-07-24T00:00:00"/>
    <n v="34"/>
    <x v="0"/>
    <x v="0"/>
    <n v="62818"/>
    <s v="William Williams"/>
    <x v="0"/>
    <n v="7"/>
    <x v="2"/>
    <n v="0"/>
  </r>
  <r>
    <x v="126"/>
    <s v="David"/>
    <s v="Williams"/>
    <d v="2018-07-20T00:00:00"/>
    <n v="35"/>
    <x v="5"/>
    <x v="0"/>
    <n v="85151"/>
    <s v="David Williams"/>
    <x v="5"/>
    <n v="7"/>
    <x v="2"/>
    <n v="0"/>
  </r>
  <r>
    <x v="127"/>
    <s v="Jane"/>
    <s v="Davis"/>
    <d v="2016-03-04T00:00:00"/>
    <n v="95"/>
    <x v="2"/>
    <x v="0"/>
    <n v="46390"/>
    <s v="Jane Davis"/>
    <x v="2"/>
    <n v="10"/>
    <x v="4"/>
    <n v="5566.8"/>
  </r>
  <r>
    <x v="128"/>
    <s v="John"/>
    <s v="Martinez"/>
    <d v="2022-03-23T00:00:00"/>
    <n v="90"/>
    <x v="5"/>
    <x v="1"/>
    <n v="111920"/>
    <s v="John Martinez"/>
    <x v="5"/>
    <n v="4"/>
    <x v="3"/>
    <n v="8953.6"/>
  </r>
  <r>
    <x v="129"/>
    <s v="David"/>
    <s v="Anderson"/>
    <d v="2017-07-28T00:00:00"/>
    <n v="42"/>
    <x v="5"/>
    <x v="0"/>
    <n v="115618"/>
    <s v="David Anderson"/>
    <x v="5"/>
    <n v="8"/>
    <x v="2"/>
    <n v="0"/>
  </r>
  <r>
    <x v="130"/>
    <s v="Sarah"/>
    <s v="Smith"/>
    <d v="2023-05-11T00:00:00"/>
    <n v="88"/>
    <x v="4"/>
    <x v="2"/>
    <n v="110618"/>
    <s v="Sarah Smith"/>
    <x v="4"/>
    <n v="3"/>
    <x v="3"/>
    <n v="8849.44"/>
  </r>
  <r>
    <x v="131"/>
    <s v="Melissa"/>
    <s v="Hernandez"/>
    <d v="2022-03-19T00:00:00"/>
    <n v="78"/>
    <x v="3"/>
    <x v="1"/>
    <n v="108395"/>
    <s v="Melissa Hernandez"/>
    <x v="3"/>
    <n v="4"/>
    <x v="1"/>
    <n v="5419.75"/>
  </r>
  <r>
    <x v="132"/>
    <s v="Melissa"/>
    <s v="Johnson"/>
    <d v="2017-12-22T00:00:00"/>
    <n v="69"/>
    <x v="2"/>
    <x v="0"/>
    <n v="88005"/>
    <s v="Melissa Johnson"/>
    <x v="2"/>
    <n v="8"/>
    <x v="0"/>
    <n v="1760.1000000000001"/>
  </r>
  <r>
    <x v="133"/>
    <s v="Jane"/>
    <s v="Garcia"/>
    <d v="2021-08-29T00:00:00"/>
    <n v="82"/>
    <x v="1"/>
    <x v="0"/>
    <n v="83007"/>
    <s v="Jane Garcia"/>
    <x v="1"/>
    <n v="4"/>
    <x v="1"/>
    <n v="4150.3500000000004"/>
  </r>
  <r>
    <x v="134"/>
    <s v="David"/>
    <s v="Davis"/>
    <d v="2018-09-17T00:00:00"/>
    <n v="68"/>
    <x v="0"/>
    <x v="0"/>
    <n v="61547"/>
    <s v="David Davis"/>
    <x v="0"/>
    <n v="7"/>
    <x v="0"/>
    <n v="1230.94"/>
  </r>
  <r>
    <x v="135"/>
    <s v="James"/>
    <s v="Wilson"/>
    <d v="2021-06-28T00:00:00"/>
    <n v="52"/>
    <x v="4"/>
    <x v="0"/>
    <n v="87282"/>
    <s v="James Wilson"/>
    <x v="4"/>
    <n v="5"/>
    <x v="0"/>
    <n v="1745.64"/>
  </r>
  <r>
    <x v="136"/>
    <s v="Richard"/>
    <s v="Johnson"/>
    <d v="2017-10-03T00:00:00"/>
    <n v="92"/>
    <x v="3"/>
    <x v="1"/>
    <n v="50399"/>
    <s v="Richard Johnson"/>
    <x v="3"/>
    <n v="8"/>
    <x v="3"/>
    <n v="4031.92"/>
  </r>
  <r>
    <x v="137"/>
    <s v="Richard"/>
    <s v="Williams"/>
    <d v="2015-10-22T00:00:00"/>
    <n v="62"/>
    <x v="2"/>
    <x v="0"/>
    <n v="87938"/>
    <s v="Richard Williams"/>
    <x v="2"/>
    <n v="10"/>
    <x v="0"/>
    <n v="1758.76"/>
  </r>
  <r>
    <x v="138"/>
    <s v="John"/>
    <s v="Hernandez"/>
    <d v="2018-06-06T00:00:00"/>
    <n v="68"/>
    <x v="3"/>
    <x v="0"/>
    <n v="52720"/>
    <s v="John Hernandez"/>
    <x v="3"/>
    <n v="8"/>
    <x v="0"/>
    <n v="1054.4000000000001"/>
  </r>
  <r>
    <x v="139"/>
    <s v="Sarah"/>
    <s v="Gonzalez"/>
    <d v="2017-07-16T00:00:00"/>
    <n v="98"/>
    <x v="3"/>
    <x v="0"/>
    <n v="65065"/>
    <s v="Sarah Gonzalez"/>
    <x v="3"/>
    <n v="8"/>
    <x v="4"/>
    <n v="7807.7999999999993"/>
  </r>
  <r>
    <x v="140"/>
    <s v="Melissa"/>
    <s v="Hernandez"/>
    <d v="2015-06-20T00:00:00"/>
    <n v="94"/>
    <x v="4"/>
    <x v="2"/>
    <n v="87282"/>
    <s v="Melissa Hernandez"/>
    <x v="4"/>
    <n v="11"/>
    <x v="3"/>
    <n v="6982.56"/>
  </r>
  <r>
    <x v="141"/>
    <s v="Melissa"/>
    <s v="Hernandez"/>
    <d v="2019-05-24T00:00:00"/>
    <n v="57"/>
    <x v="3"/>
    <x v="2"/>
    <n v="108119"/>
    <s v="Melissa Hernandez"/>
    <x v="3"/>
    <n v="7"/>
    <x v="0"/>
    <n v="2162.38"/>
  </r>
  <r>
    <x v="142"/>
    <s v="John"/>
    <s v="Davis"/>
    <d v="2020-02-26T00:00:00"/>
    <n v="96"/>
    <x v="0"/>
    <x v="0"/>
    <n v="80014"/>
    <s v="John Davis"/>
    <x v="0"/>
    <n v="6"/>
    <x v="4"/>
    <n v="9601.68"/>
  </r>
  <r>
    <x v="143"/>
    <s v="Richard"/>
    <s v="Davis"/>
    <d v="2023-03-06T00:00:00"/>
    <n v="52"/>
    <x v="5"/>
    <x v="1"/>
    <n v="106896"/>
    <s v="Richard Davis"/>
    <x v="5"/>
    <n v="3"/>
    <x v="0"/>
    <n v="2137.92"/>
  </r>
  <r>
    <x v="144"/>
    <s v="unknown"/>
    <s v="Jones"/>
    <d v="2019-01-12T00:00:00"/>
    <n v="59"/>
    <x v="0"/>
    <x v="0"/>
    <n v="112887"/>
    <s v="unknown Jones"/>
    <x v="0"/>
    <n v="7"/>
    <x v="0"/>
    <n v="2257.7400000000002"/>
  </r>
  <r>
    <x v="145"/>
    <s v="William"/>
    <s v="Rodriguez"/>
    <d v="2023-04-21T00:00:00"/>
    <n v="79"/>
    <x v="2"/>
    <x v="0"/>
    <n v="85457"/>
    <s v="William Rodriguez"/>
    <x v="2"/>
    <n v="3"/>
    <x v="1"/>
    <n v="4272.8500000000004"/>
  </r>
  <r>
    <x v="146"/>
    <s v="Melissa"/>
    <s v="Miller"/>
    <d v="2016-05-29T00:00:00"/>
    <n v="30"/>
    <x v="4"/>
    <x v="0"/>
    <n v="62798"/>
    <s v="Melissa Miller"/>
    <x v="4"/>
    <n v="10"/>
    <x v="2"/>
    <n v="0"/>
  </r>
  <r>
    <x v="147"/>
    <s v="Emily"/>
    <s v="Martinez"/>
    <d v="2022-05-30T00:00:00"/>
    <n v="73"/>
    <x v="3"/>
    <x v="1"/>
    <n v="47794"/>
    <s v="Emily Martinez"/>
    <x v="3"/>
    <n v="4"/>
    <x v="1"/>
    <n v="2389.7000000000003"/>
  </r>
  <r>
    <x v="148"/>
    <s v="James"/>
    <s v="Rodriguez"/>
    <d v="2016-11-03T00:00:00"/>
    <n v="74"/>
    <x v="1"/>
    <x v="0"/>
    <n v="93094"/>
    <s v="James Rodriguez"/>
    <x v="1"/>
    <n v="9"/>
    <x v="1"/>
    <n v="4654.7"/>
  </r>
  <r>
    <x v="149"/>
    <s v="Amanda"/>
    <s v="Brown"/>
    <d v="2022-10-14T00:00:00"/>
    <n v="91"/>
    <x v="0"/>
    <x v="0"/>
    <n v="118634"/>
    <s v="Amanda Brown"/>
    <x v="0"/>
    <n v="3"/>
    <x v="3"/>
    <n v="9490.7199999999993"/>
  </r>
  <r>
    <x v="150"/>
    <m/>
    <m/>
    <m/>
    <m/>
    <x v="6"/>
    <x v="3"/>
    <m/>
    <m/>
    <x v="6"/>
    <m/>
    <x v="5"/>
    <m/>
  </r>
  <r>
    <x v="150"/>
    <m/>
    <m/>
    <m/>
    <m/>
    <x v="6"/>
    <x v="3"/>
    <m/>
    <s v=""/>
    <x v="6"/>
    <m/>
    <x v="5"/>
    <m/>
  </r>
  <r>
    <x v="150"/>
    <m/>
    <m/>
    <m/>
    <m/>
    <x v="6"/>
    <x v="3"/>
    <m/>
    <s v=""/>
    <x v="6"/>
    <m/>
    <x v="5"/>
    <m/>
  </r>
  <r>
    <x v="150"/>
    <m/>
    <m/>
    <m/>
    <m/>
    <x v="6"/>
    <x v="3"/>
    <m/>
    <s v=""/>
    <x v="6"/>
    <m/>
    <x v="5"/>
    <m/>
  </r>
  <r>
    <x v="150"/>
    <m/>
    <m/>
    <m/>
    <m/>
    <x v="6"/>
    <x v="3"/>
    <m/>
    <m/>
    <x v="6"/>
    <m/>
    <x v="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
  <r>
    <x v="0"/>
    <s v="Emily"/>
    <s v="Brown"/>
    <d v="2017-12-24T00:00:00"/>
    <x v="0"/>
    <s v="IT02"/>
    <x v="0"/>
    <n v="50361"/>
    <s v="Emily Brown"/>
    <x v="0"/>
    <n v="8"/>
    <x v="0"/>
    <n v="1007.22"/>
  </r>
  <r>
    <x v="1"/>
    <s v="Richard"/>
    <s v="Hernandez"/>
    <d v="2022-04-08T00:00:00"/>
    <x v="1"/>
    <s v="MKT04"/>
    <x v="0"/>
    <n v="112673"/>
    <s v="Richard Hernandez"/>
    <x v="1"/>
    <n v="4"/>
    <x v="1"/>
    <n v="5633.6500000000005"/>
  </r>
  <r>
    <x v="2"/>
    <s v="Emily"/>
    <s v="Gonzalez"/>
    <d v="2016-03-02T00:00:00"/>
    <x v="2"/>
    <s v="IT02"/>
    <x v="1"/>
    <n v="114425"/>
    <s v="Emily Gonzalez"/>
    <x v="0"/>
    <n v="10"/>
    <x v="0"/>
    <n v="2288.5"/>
  </r>
  <r>
    <x v="3"/>
    <s v="John"/>
    <s v="Martinez"/>
    <d v="2023-07-03T00:00:00"/>
    <x v="3"/>
    <s v="FIN03"/>
    <x v="0"/>
    <n v="103831"/>
    <s v="John Martinez"/>
    <x v="2"/>
    <n v="3"/>
    <x v="1"/>
    <n v="5191.55"/>
  </r>
  <r>
    <x v="4"/>
    <s v="Thomas"/>
    <s v="Smith"/>
    <d v="2023-02-20T00:00:00"/>
    <x v="4"/>
    <s v="IT02"/>
    <x v="1"/>
    <n v="73785"/>
    <s v="Thomas Smith"/>
    <x v="0"/>
    <n v="3"/>
    <x v="2"/>
    <n v="0"/>
  </r>
  <r>
    <x v="5"/>
    <s v="Emily"/>
    <s v="Johnson"/>
    <d v="2020-03-02T00:00:00"/>
    <x v="5"/>
    <s v="OPS06"/>
    <x v="0"/>
    <n v="115882"/>
    <s v="Emily Johnson"/>
    <x v="3"/>
    <n v="6"/>
    <x v="2"/>
    <n v="0"/>
  </r>
  <r>
    <x v="6"/>
    <s v="John"/>
    <s v="Wilson"/>
    <d v="2023-12-12T00:00:00"/>
    <x v="3"/>
    <s v="OPS06"/>
    <x v="1"/>
    <n v="59980"/>
    <s v="John Wilson"/>
    <x v="3"/>
    <n v="2"/>
    <x v="1"/>
    <n v="2999"/>
  </r>
  <r>
    <x v="7"/>
    <s v="Jessica"/>
    <s v="Smith"/>
    <d v="2020-12-09T00:00:00"/>
    <x v="6"/>
    <s v="OPS06"/>
    <x v="0"/>
    <n v="68728"/>
    <s v="Jessica Smith"/>
    <x v="3"/>
    <n v="5"/>
    <x v="2"/>
    <n v="0"/>
  </r>
  <r>
    <x v="8"/>
    <s v="unknown"/>
    <s v="Rodriguez"/>
    <d v="2018-01-07T00:00:00"/>
    <x v="7"/>
    <s v="FIN03"/>
    <x v="0"/>
    <n v="102139"/>
    <s v="unknown Rodriguez"/>
    <x v="2"/>
    <n v="8"/>
    <x v="1"/>
    <n v="5106.9500000000007"/>
  </r>
  <r>
    <x v="9"/>
    <s v="Michael"/>
    <s v="Martinez"/>
    <d v="2016-11-02T00:00:00"/>
    <x v="8"/>
    <s v="SAL05"/>
    <x v="0"/>
    <n v="94998"/>
    <s v="Michael Martinez"/>
    <x v="4"/>
    <n v="9"/>
    <x v="0"/>
    <n v="1899.96"/>
  </r>
  <r>
    <x v="10"/>
    <s v="Emily"/>
    <s v="Miller"/>
    <d v="2020-03-21T00:00:00"/>
    <x v="5"/>
    <s v="SAL05"/>
    <x v="0"/>
    <n v="118635"/>
    <s v="Emily Miller"/>
    <x v="4"/>
    <n v="6"/>
    <x v="2"/>
    <n v="0"/>
  </r>
  <r>
    <x v="11"/>
    <s v="Emily"/>
    <s v="Hernandez"/>
    <d v="2016-02-25T00:00:00"/>
    <x v="9"/>
    <s v="IT02"/>
    <x v="0"/>
    <n v="76918"/>
    <s v="Emily Hernandez"/>
    <x v="0"/>
    <n v="10"/>
    <x v="0"/>
    <n v="1538.3600000000001"/>
  </r>
  <r>
    <x v="12"/>
    <s v="Jane"/>
    <s v="Williams"/>
    <d v="2021-06-17T00:00:00"/>
    <x v="10"/>
    <s v="MKT04"/>
    <x v="0"/>
    <n v="61408"/>
    <s v="Jane Williams"/>
    <x v="1"/>
    <n v="5"/>
    <x v="2"/>
    <n v="0"/>
  </r>
  <r>
    <x v="13"/>
    <s v="Jane"/>
    <s v="Miller"/>
    <d v="2020-06-19T00:00:00"/>
    <x v="2"/>
    <s v="MKT04"/>
    <x v="0"/>
    <n v="99990"/>
    <s v="Jane Miller"/>
    <x v="1"/>
    <n v="6"/>
    <x v="0"/>
    <n v="1999.8"/>
  </r>
  <r>
    <x v="14"/>
    <s v="Robert"/>
    <s v="Jones"/>
    <d v="2019-12-21T00:00:00"/>
    <x v="1"/>
    <s v="MKT04"/>
    <x v="0"/>
    <n v="80385"/>
    <s v="Robert Jones"/>
    <x v="1"/>
    <n v="6"/>
    <x v="1"/>
    <n v="4019.25"/>
  </r>
  <r>
    <x v="15"/>
    <s v="Thomas"/>
    <s v="Rodriguez"/>
    <d v="2023-08-31T00:00:00"/>
    <x v="11"/>
    <s v="SAL05"/>
    <x v="0"/>
    <n v="65290"/>
    <s v="Thomas Rodriguez"/>
    <x v="4"/>
    <n v="2"/>
    <x v="1"/>
    <n v="3264.5"/>
  </r>
  <r>
    <x v="16"/>
    <s v="Emily"/>
    <s v="Davis"/>
    <d v="2015-11-29T00:00:00"/>
    <x v="12"/>
    <s v="IT02"/>
    <x v="0"/>
    <n v="105765"/>
    <s v="Emily Davis"/>
    <x v="0"/>
    <n v="10"/>
    <x v="2"/>
    <n v="0"/>
  </r>
  <r>
    <x v="17"/>
    <s v="James"/>
    <s v="Martinez"/>
    <d v="2017-06-13T00:00:00"/>
    <x v="5"/>
    <s v="SAL05"/>
    <x v="0"/>
    <n v="102921"/>
    <s v="James Martinez"/>
    <x v="4"/>
    <n v="9"/>
    <x v="2"/>
    <n v="0"/>
  </r>
  <r>
    <x v="18"/>
    <s v="Ashley"/>
    <s v="Lopez"/>
    <d v="2018-05-15T00:00:00"/>
    <x v="13"/>
    <s v="MKT04"/>
    <x v="0"/>
    <n v="73984"/>
    <s v="Ashley Lopez"/>
    <x v="1"/>
    <n v="8"/>
    <x v="3"/>
    <n v="5918.72"/>
  </r>
  <r>
    <x v="19"/>
    <s v="Amanda"/>
    <s v="Gonzalez"/>
    <d v="2016-07-24T00:00:00"/>
    <x v="14"/>
    <s v="IT02"/>
    <x v="0"/>
    <n v="80014"/>
    <s v="Amanda Gonzalez"/>
    <x v="0"/>
    <n v="9"/>
    <x v="1"/>
    <n v="4000.7000000000003"/>
  </r>
  <r>
    <x v="20"/>
    <s v="Michael"/>
    <s v="Hernandez"/>
    <d v="2017-12-07T00:00:00"/>
    <x v="15"/>
    <s v="FIN03"/>
    <x v="0"/>
    <n v="118527"/>
    <s v="Michael Hernandez"/>
    <x v="2"/>
    <n v="8"/>
    <x v="0"/>
    <n v="2370.54"/>
  </r>
  <r>
    <x v="21"/>
    <s v="Richard"/>
    <s v="Hernandez"/>
    <d v="2021-06-06T00:00:00"/>
    <x v="16"/>
    <s v="MKT04"/>
    <x v="0"/>
    <n v="107871"/>
    <s v="Richard Hernandez"/>
    <x v="1"/>
    <n v="5"/>
    <x v="3"/>
    <n v="8629.68"/>
  </r>
  <r>
    <x v="22"/>
    <s v="Michael"/>
    <s v="Rodriguez"/>
    <d v="2022-09-11T00:00:00"/>
    <x v="15"/>
    <s v="IT02"/>
    <x v="1"/>
    <n v="93956"/>
    <s v="Michael Rodriguez"/>
    <x v="0"/>
    <n v="3"/>
    <x v="0"/>
    <n v="1879.1200000000001"/>
  </r>
  <r>
    <x v="23"/>
    <s v="Jessica"/>
    <s v="Johnson"/>
    <d v="2016-07-14T00:00:00"/>
    <x v="17"/>
    <s v="FIN03"/>
    <x v="0"/>
    <n v="100851"/>
    <s v="Jessica Johnson"/>
    <x v="2"/>
    <n v="9"/>
    <x v="0"/>
    <n v="2017.02"/>
  </r>
  <r>
    <x v="24"/>
    <s v="Ashley"/>
    <s v="Williams"/>
    <d v="2022-06-16T00:00:00"/>
    <x v="18"/>
    <s v="SAL05"/>
    <x v="0"/>
    <n v="68655"/>
    <s v="Ashley Williams"/>
    <x v="4"/>
    <n v="4"/>
    <x v="2"/>
    <n v="0"/>
  </r>
  <r>
    <x v="25"/>
    <s v="unknown"/>
    <s v="Williams"/>
    <d v="2023-07-27T00:00:00"/>
    <x v="19"/>
    <s v="SAL05"/>
    <x v="0"/>
    <n v="81205"/>
    <s v="unknown Williams"/>
    <x v="4"/>
    <n v="2"/>
    <x v="0"/>
    <n v="1624.1000000000001"/>
  </r>
  <r>
    <x v="26"/>
    <s v="John"/>
    <s v="Wilson"/>
    <d v="2019-09-24T00:00:00"/>
    <x v="16"/>
    <s v="SAL05"/>
    <x v="0"/>
    <n v="77610"/>
    <s v="John Wilson"/>
    <x v="4"/>
    <n v="6"/>
    <x v="3"/>
    <n v="6208.8"/>
  </r>
  <r>
    <x v="27"/>
    <s v="Thomas"/>
    <s v="Rodriguez"/>
    <d v="2022-07-23T00:00:00"/>
    <x v="20"/>
    <s v="IT02"/>
    <x v="0"/>
    <n v="50873"/>
    <s v="Thomas Rodriguez"/>
    <x v="0"/>
    <n v="3"/>
    <x v="3"/>
    <n v="4069.84"/>
  </r>
  <r>
    <x v="28"/>
    <s v="Michael"/>
    <s v="Wilson"/>
    <d v="2018-05-13T00:00:00"/>
    <x v="21"/>
    <s v="FIN03"/>
    <x v="0"/>
    <n v="85312"/>
    <s v="Michael Wilson"/>
    <x v="2"/>
    <n v="8"/>
    <x v="0"/>
    <n v="1706.24"/>
  </r>
  <r>
    <x v="29"/>
    <s v="John"/>
    <s v="Rodriguez"/>
    <d v="2015-07-17T00:00:00"/>
    <x v="22"/>
    <s v="SAL05"/>
    <x v="0"/>
    <n v="87282"/>
    <s v="John Rodriguez"/>
    <x v="4"/>
    <n v="10"/>
    <x v="0"/>
    <n v="1745.64"/>
  </r>
  <r>
    <x v="30"/>
    <s v="Thomas"/>
    <s v="Hernandez"/>
    <d v="2015-08-05T00:00:00"/>
    <x v="23"/>
    <s v="OPS06"/>
    <x v="0"/>
    <n v="97055"/>
    <s v="Thomas Hernandez"/>
    <x v="3"/>
    <n v="10"/>
    <x v="1"/>
    <n v="4852.75"/>
  </r>
  <r>
    <x v="31"/>
    <s v="Michael"/>
    <s v="Johnson"/>
    <d v="2023-09-26T00:00:00"/>
    <x v="24"/>
    <s v="IT02"/>
    <x v="0"/>
    <n v="66069"/>
    <s v="Michael Johnson"/>
    <x v="0"/>
    <n v="2"/>
    <x v="1"/>
    <n v="3303.4500000000003"/>
  </r>
  <r>
    <x v="32"/>
    <s v="Sarah"/>
    <s v="Brown"/>
    <d v="2019-06-10T00:00:00"/>
    <x v="8"/>
    <s v="IT02"/>
    <x v="0"/>
    <n v="90157"/>
    <s v="Sarah Brown"/>
    <x v="0"/>
    <n v="7"/>
    <x v="0"/>
    <n v="1803.14"/>
  </r>
  <r>
    <x v="33"/>
    <s v="Jane"/>
    <s v="Martinez"/>
    <d v="2022-01-17T00:00:00"/>
    <x v="25"/>
    <s v="HR01"/>
    <x v="0"/>
    <n v="59899"/>
    <s v="Jane Martinez"/>
    <x v="5"/>
    <n v="4"/>
    <x v="1"/>
    <n v="2994.9500000000003"/>
  </r>
  <r>
    <x v="34"/>
    <s v="Emily"/>
    <s v="Jones"/>
    <d v="2017-07-03T00:00:00"/>
    <x v="26"/>
    <s v="FIN03"/>
    <x v="0"/>
    <n v="113389"/>
    <s v="Emily Jones"/>
    <x v="2"/>
    <n v="9"/>
    <x v="2"/>
    <n v="0"/>
  </r>
  <r>
    <x v="35"/>
    <s v="unknown"/>
    <s v="Brown"/>
    <d v="2015-09-01T00:00:00"/>
    <x v="0"/>
    <s v="IT02"/>
    <x v="0"/>
    <n v="102691"/>
    <s v="unknown Brown"/>
    <x v="0"/>
    <n v="10"/>
    <x v="0"/>
    <n v="2053.8200000000002"/>
  </r>
  <r>
    <x v="36"/>
    <s v="John"/>
    <s v="Wilson"/>
    <d v="2022-08-03T00:00:00"/>
    <x v="27"/>
    <s v="OPS06"/>
    <x v="0"/>
    <n v="111845"/>
    <s v="John Wilson"/>
    <x v="3"/>
    <n v="3"/>
    <x v="4"/>
    <n v="13421.4"/>
  </r>
  <r>
    <x v="37"/>
    <s v="Melissa"/>
    <s v="Brown"/>
    <d v="2022-06-29T00:00:00"/>
    <x v="13"/>
    <s v="SAL05"/>
    <x v="0"/>
    <n v="69219"/>
    <s v="Melissa Brown"/>
    <x v="4"/>
    <n v="4"/>
    <x v="3"/>
    <n v="5537.52"/>
  </r>
  <r>
    <x v="38"/>
    <s v="Michael"/>
    <s v="Smith"/>
    <d v="2020-04-28T00:00:00"/>
    <x v="23"/>
    <s v="FIN03"/>
    <x v="1"/>
    <n v="87938"/>
    <s v="Michael Smith"/>
    <x v="2"/>
    <n v="6"/>
    <x v="1"/>
    <n v="4396.9000000000005"/>
  </r>
  <r>
    <x v="39"/>
    <s v="Sarah"/>
    <s v="Miller"/>
    <d v="2017-09-09T00:00:00"/>
    <x v="3"/>
    <s v="OPS06"/>
    <x v="0"/>
    <n v="57514"/>
    <s v="Sarah Miller"/>
    <x v="3"/>
    <n v="8"/>
    <x v="1"/>
    <n v="2875.7000000000003"/>
  </r>
  <r>
    <x v="40"/>
    <s v="Emily"/>
    <s v="Wilson"/>
    <d v="2018-03-22T00:00:00"/>
    <x v="28"/>
    <s v="SAL05"/>
    <x v="1"/>
    <n v="86245"/>
    <s v="Emily Wilson"/>
    <x v="4"/>
    <n v="8"/>
    <x v="1"/>
    <n v="4312.25"/>
  </r>
  <r>
    <x v="41"/>
    <s v="David"/>
    <s v="Hernandez"/>
    <d v="2020-05-07T00:00:00"/>
    <x v="29"/>
    <s v="SAL05"/>
    <x v="0"/>
    <n v="52407"/>
    <s v="David Hernandez"/>
    <x v="4"/>
    <n v="6"/>
    <x v="0"/>
    <n v="1048.1400000000001"/>
  </r>
  <r>
    <x v="42"/>
    <s v="James"/>
    <s v="Smith"/>
    <d v="2019-03-25T00:00:00"/>
    <x v="13"/>
    <s v="OPS06"/>
    <x v="2"/>
    <n v="66606"/>
    <s v="James Smith"/>
    <x v="3"/>
    <n v="7"/>
    <x v="3"/>
    <n v="5328.4800000000005"/>
  </r>
  <r>
    <x v="43"/>
    <s v="Sarah"/>
    <s v="Williams"/>
    <d v="2019-08-09T00:00:00"/>
    <x v="7"/>
    <s v="IT02"/>
    <x v="2"/>
    <n v="81896"/>
    <s v="Sarah Williams"/>
    <x v="0"/>
    <n v="6"/>
    <x v="1"/>
    <n v="4094.8"/>
  </r>
  <r>
    <x v="44"/>
    <s v="Amanda"/>
    <s v="Lopez"/>
    <d v="2016-07-14T00:00:00"/>
    <x v="2"/>
    <s v="SAL05"/>
    <x v="0"/>
    <n v="78402"/>
    <s v="Amanda Lopez"/>
    <x v="4"/>
    <n v="9"/>
    <x v="0"/>
    <n v="1568.04"/>
  </r>
  <r>
    <x v="45"/>
    <s v="Thomas"/>
    <s v="Lopez"/>
    <d v="2016-10-04T00:00:00"/>
    <x v="30"/>
    <s v="OPS06"/>
    <x v="0"/>
    <n v="105498"/>
    <s v="Thomas Lopez"/>
    <x v="3"/>
    <n v="9"/>
    <x v="1"/>
    <n v="5274.9000000000005"/>
  </r>
  <r>
    <x v="46"/>
    <s v="Melissa"/>
    <s v="Johnson"/>
    <d v="2019-07-10T00:00:00"/>
    <x v="24"/>
    <s v="MKT04"/>
    <x v="1"/>
    <n v="91749"/>
    <s v="Melissa Johnson"/>
    <x v="1"/>
    <n v="6"/>
    <x v="1"/>
    <n v="4587.45"/>
  </r>
  <r>
    <x v="47"/>
    <s v="Amanda"/>
    <s v="Johnson"/>
    <d v="2021-08-29T00:00:00"/>
    <x v="31"/>
    <s v="OPS06"/>
    <x v="2"/>
    <n v="99935"/>
    <s v="Amanda Johnson"/>
    <x v="3"/>
    <n v="4"/>
    <x v="1"/>
    <n v="4996.75"/>
  </r>
  <r>
    <x v="48"/>
    <s v="John"/>
    <s v="Davis"/>
    <d v="2017-01-26T00:00:00"/>
    <x v="26"/>
    <s v="IT02"/>
    <x v="1"/>
    <n v="83531"/>
    <s v="John Davis"/>
    <x v="0"/>
    <n v="9"/>
    <x v="2"/>
    <n v="0"/>
  </r>
  <r>
    <x v="49"/>
    <s v="James"/>
    <s v="Johnson"/>
    <d v="2020-05-30T00:00:00"/>
    <x v="1"/>
    <s v="MKT04"/>
    <x v="0"/>
    <n v="75023"/>
    <s v="James Johnson"/>
    <x v="1"/>
    <n v="6"/>
    <x v="1"/>
    <n v="3751.15"/>
  </r>
  <r>
    <x v="50"/>
    <s v="Jane"/>
    <s v="Davis"/>
    <d v="2022-02-20T00:00:00"/>
    <x v="32"/>
    <s v="HR01"/>
    <x v="0"/>
    <n v="93290"/>
    <s v="Jane Davis"/>
    <x v="5"/>
    <n v="4"/>
    <x v="0"/>
    <n v="1865.8"/>
  </r>
  <r>
    <x v="51"/>
    <s v="Richard"/>
    <s v="Davis"/>
    <d v="2016-09-15T00:00:00"/>
    <x v="33"/>
    <s v="OPS06"/>
    <x v="2"/>
    <n v="115527"/>
    <s v="Richard Davis"/>
    <x v="3"/>
    <n v="9"/>
    <x v="0"/>
    <n v="2310.54"/>
  </r>
  <r>
    <x v="52"/>
    <s v="Thomas"/>
    <s v="Rodriguez"/>
    <d v="2019-10-07T00:00:00"/>
    <x v="31"/>
    <s v="FIN03"/>
    <x v="0"/>
    <n v="55920"/>
    <s v="Thomas Rodriguez"/>
    <x v="2"/>
    <n v="6"/>
    <x v="1"/>
    <n v="2796"/>
  </r>
  <r>
    <x v="53"/>
    <s v="Emily"/>
    <s v="Johnson"/>
    <d v="2018-12-30T00:00:00"/>
    <x v="26"/>
    <s v="SAL05"/>
    <x v="0"/>
    <n v="80189"/>
    <s v="Emily Johnson"/>
    <x v="4"/>
    <n v="7"/>
    <x v="2"/>
    <n v="0"/>
  </r>
  <r>
    <x v="54"/>
    <s v="Emily"/>
    <s v="Garcia"/>
    <d v="2020-12-24T00:00:00"/>
    <x v="34"/>
    <s v="HR01"/>
    <x v="0"/>
    <n v="118947"/>
    <s v="Emily Garcia"/>
    <x v="5"/>
    <n v="5"/>
    <x v="4"/>
    <n v="14273.64"/>
  </r>
  <r>
    <x v="55"/>
    <s v="Jane"/>
    <s v="Anderson"/>
    <d v="2023-07-05T00:00:00"/>
    <x v="2"/>
    <s v="IT02"/>
    <x v="0"/>
    <n v="80014"/>
    <s v="Jane Anderson"/>
    <x v="0"/>
    <n v="2"/>
    <x v="0"/>
    <n v="1600.28"/>
  </r>
  <r>
    <x v="56"/>
    <s v="Thomas"/>
    <s v="Garcia"/>
    <d v="2020-11-13T00:00:00"/>
    <x v="14"/>
    <s v="OPS06"/>
    <x v="0"/>
    <n v="79787"/>
    <s v="Thomas Garcia"/>
    <x v="3"/>
    <n v="5"/>
    <x v="1"/>
    <n v="3989.3500000000004"/>
  </r>
  <r>
    <x v="57"/>
    <s v="David"/>
    <s v="Martinez"/>
    <d v="2018-02-07T00:00:00"/>
    <x v="35"/>
    <s v="HR01"/>
    <x v="0"/>
    <n v="91655"/>
    <s v="David Martinez"/>
    <x v="5"/>
    <n v="8"/>
    <x v="4"/>
    <n v="10998.6"/>
  </r>
  <r>
    <x v="58"/>
    <s v="Emily"/>
    <s v="Brown"/>
    <d v="2023-11-25T00:00:00"/>
    <x v="36"/>
    <s v="IT02"/>
    <x v="1"/>
    <n v="49435"/>
    <s v="Emily Brown"/>
    <x v="0"/>
    <n v="2"/>
    <x v="0"/>
    <n v="988.7"/>
  </r>
  <r>
    <x v="59"/>
    <s v="Emily"/>
    <s v="Wilson"/>
    <d v="2023-10-18T00:00:00"/>
    <x v="13"/>
    <s v="SAL05"/>
    <x v="0"/>
    <n v="110381"/>
    <s v="Emily Wilson"/>
    <x v="4"/>
    <n v="2"/>
    <x v="3"/>
    <n v="8830.48"/>
  </r>
  <r>
    <x v="60"/>
    <s v="Michael"/>
    <s v="Anderson"/>
    <d v="2020-09-05T00:00:00"/>
    <x v="37"/>
    <s v="HR01"/>
    <x v="0"/>
    <n v="114748"/>
    <s v="Michael Anderson"/>
    <x v="5"/>
    <n v="5"/>
    <x v="2"/>
    <n v="0"/>
  </r>
  <r>
    <x v="61"/>
    <s v="Robert"/>
    <s v="Johnson"/>
    <d v="2017-03-06T00:00:00"/>
    <x v="38"/>
    <s v="OPS06"/>
    <x v="0"/>
    <n v="63302"/>
    <s v="Robert Johnson"/>
    <x v="3"/>
    <n v="9"/>
    <x v="3"/>
    <n v="5064.16"/>
  </r>
  <r>
    <x v="62"/>
    <s v="Robert"/>
    <s v="Miller"/>
    <d v="2015-04-28T00:00:00"/>
    <x v="17"/>
    <s v="IT02"/>
    <x v="0"/>
    <n v="75519"/>
    <s v="Robert Miller"/>
    <x v="0"/>
    <n v="11"/>
    <x v="0"/>
    <n v="1510.38"/>
  </r>
  <r>
    <x v="63"/>
    <s v="Jane"/>
    <s v="Davis"/>
    <d v="2017-04-13T00:00:00"/>
    <x v="23"/>
    <s v="FIN03"/>
    <x v="0"/>
    <n v="103891"/>
    <s v="Jane Davis"/>
    <x v="2"/>
    <n v="9"/>
    <x v="1"/>
    <n v="5194.55"/>
  </r>
  <r>
    <x v="64"/>
    <s v="Thomas"/>
    <s v="Davis"/>
    <d v="2022-09-23T00:00:00"/>
    <x v="39"/>
    <s v="OPS06"/>
    <x v="1"/>
    <n v="79787"/>
    <s v="Thomas Davis"/>
    <x v="3"/>
    <n v="3"/>
    <x v="2"/>
    <n v="0"/>
  </r>
  <r>
    <x v="65"/>
    <s v="Thomas"/>
    <s v="Jones"/>
    <d v="2016-11-11T00:00:00"/>
    <x v="40"/>
    <s v="MKT04"/>
    <x v="0"/>
    <n v="50936"/>
    <s v="Thomas Jones"/>
    <x v="1"/>
    <n v="9"/>
    <x v="4"/>
    <n v="6112.32"/>
  </r>
  <r>
    <x v="66"/>
    <s v="Michael"/>
    <s v="Miller"/>
    <d v="2017-03-24T00:00:00"/>
    <x v="17"/>
    <s v="SAL05"/>
    <x v="0"/>
    <n v="111240"/>
    <s v="Michael Miller"/>
    <x v="4"/>
    <n v="9"/>
    <x v="0"/>
    <n v="2224.8000000000002"/>
  </r>
  <r>
    <x v="67"/>
    <s v="Richard"/>
    <s v="Gonzalez"/>
    <d v="2019-05-05T00:00:00"/>
    <x v="41"/>
    <s v="HR01"/>
    <x v="2"/>
    <n v="51567"/>
    <s v="Richard Gonzalez"/>
    <x v="5"/>
    <n v="7"/>
    <x v="3"/>
    <n v="4125.3599999999997"/>
  </r>
  <r>
    <x v="68"/>
    <s v="Melissa"/>
    <s v="Williams"/>
    <d v="2021-07-25T00:00:00"/>
    <x v="42"/>
    <s v="HR01"/>
    <x v="0"/>
    <n v="85650"/>
    <s v="Melissa Williams"/>
    <x v="5"/>
    <n v="4"/>
    <x v="2"/>
    <n v="0"/>
  </r>
  <r>
    <x v="69"/>
    <s v="Robert"/>
    <s v="Miller"/>
    <d v="2017-09-30T00:00:00"/>
    <x v="41"/>
    <s v="HR01"/>
    <x v="0"/>
    <n v="55270"/>
    <s v="Robert Miller"/>
    <x v="5"/>
    <n v="8"/>
    <x v="3"/>
    <n v="4421.6000000000004"/>
  </r>
  <r>
    <x v="70"/>
    <s v="William"/>
    <s v="Garcia"/>
    <d v="2015-07-07T00:00:00"/>
    <x v="43"/>
    <s v="SAL05"/>
    <x v="0"/>
    <n v="65235"/>
    <s v="William Garcia"/>
    <x v="4"/>
    <n v="10"/>
    <x v="4"/>
    <n v="7828.2"/>
  </r>
  <r>
    <x v="71"/>
    <s v="John"/>
    <s v="Gonzalez"/>
    <d v="2018-07-02T00:00:00"/>
    <x v="24"/>
    <s v="SAL05"/>
    <x v="1"/>
    <n v="87282"/>
    <s v="John Gonzalez"/>
    <x v="4"/>
    <n v="8"/>
    <x v="1"/>
    <n v="4364.1000000000004"/>
  </r>
  <r>
    <x v="72"/>
    <s v="James"/>
    <s v="Gonzalez"/>
    <d v="2022-09-15T00:00:00"/>
    <x v="36"/>
    <s v="SAL05"/>
    <x v="1"/>
    <n v="87282"/>
    <s v="James Gonzalez"/>
    <x v="4"/>
    <n v="3"/>
    <x v="0"/>
    <n v="1745.64"/>
  </r>
  <r>
    <x v="73"/>
    <s v="Jane"/>
    <s v="Gonzalez"/>
    <d v="2015-09-02T00:00:00"/>
    <x v="44"/>
    <s v="SAL05"/>
    <x v="0"/>
    <n v="87282"/>
    <s v="Jane Gonzalez"/>
    <x v="4"/>
    <n v="10"/>
    <x v="0"/>
    <n v="1745.64"/>
  </r>
  <r>
    <x v="74"/>
    <s v="David"/>
    <s v="Wilson"/>
    <d v="2016-10-11T00:00:00"/>
    <x v="45"/>
    <s v="OPS06"/>
    <x v="0"/>
    <n v="48823"/>
    <s v="David Wilson"/>
    <x v="3"/>
    <n v="9"/>
    <x v="2"/>
    <n v="0"/>
  </r>
  <r>
    <x v="75"/>
    <s v="Jane"/>
    <s v="Gonzalez"/>
    <d v="2019-04-20T00:00:00"/>
    <x v="25"/>
    <s v="FIN03"/>
    <x v="1"/>
    <n v="45196"/>
    <s v="Jane Gonzalez"/>
    <x v="2"/>
    <n v="7"/>
    <x v="1"/>
    <n v="2259.8000000000002"/>
  </r>
  <r>
    <x v="76"/>
    <s v="Jane"/>
    <s v="Rodriguez"/>
    <d v="2017-02-19T00:00:00"/>
    <x v="46"/>
    <s v="IT02"/>
    <x v="0"/>
    <n v="86246"/>
    <s v="Jane Rodriguez"/>
    <x v="0"/>
    <n v="9"/>
    <x v="0"/>
    <n v="1724.92"/>
  </r>
  <r>
    <x v="77"/>
    <s v="Emily"/>
    <s v="Miller"/>
    <d v="2021-09-07T00:00:00"/>
    <x v="1"/>
    <s v="SAL05"/>
    <x v="1"/>
    <n v="70359"/>
    <s v="Emily Miller"/>
    <x v="4"/>
    <n v="4"/>
    <x v="1"/>
    <n v="3517.9500000000003"/>
  </r>
  <r>
    <x v="78"/>
    <s v="Sarah"/>
    <s v="Miller"/>
    <d v="2019-05-14T00:00:00"/>
    <x v="47"/>
    <s v="MKT04"/>
    <x v="0"/>
    <n v="85508"/>
    <s v="Sarah Miller"/>
    <x v="1"/>
    <n v="7"/>
    <x v="3"/>
    <n v="6840.64"/>
  </r>
  <r>
    <x v="79"/>
    <s v="Jessica"/>
    <s v="Garcia"/>
    <d v="2015-11-22T00:00:00"/>
    <x v="3"/>
    <s v="OPS06"/>
    <x v="0"/>
    <n v="86480"/>
    <s v="Jessica Garcia"/>
    <x v="3"/>
    <n v="10"/>
    <x v="1"/>
    <n v="4324"/>
  </r>
  <r>
    <x v="80"/>
    <s v="Richard"/>
    <s v="Smith"/>
    <d v="2018-09-29T00:00:00"/>
    <x v="14"/>
    <s v="HR01"/>
    <x v="0"/>
    <n v="47694"/>
    <s v="Richard Smith"/>
    <x v="5"/>
    <n v="7"/>
    <x v="1"/>
    <n v="2384.7000000000003"/>
  </r>
  <r>
    <x v="81"/>
    <s v="Melissa"/>
    <s v="Wilson"/>
    <d v="2023-09-02T00:00:00"/>
    <x v="48"/>
    <s v="IT02"/>
    <x v="2"/>
    <n v="83724"/>
    <s v="Melissa Wilson"/>
    <x v="0"/>
    <n v="2"/>
    <x v="1"/>
    <n v="4186.2"/>
  </r>
  <r>
    <x v="82"/>
    <s v="Thomas"/>
    <s v="Williams"/>
    <d v="2022-07-17T00:00:00"/>
    <x v="46"/>
    <s v="FIN03"/>
    <x v="0"/>
    <n v="98299"/>
    <s v="Thomas Williams"/>
    <x v="2"/>
    <n v="3"/>
    <x v="0"/>
    <n v="1965.98"/>
  </r>
  <r>
    <x v="83"/>
    <s v="David"/>
    <s v="Williams"/>
    <d v="2021-02-07T00:00:00"/>
    <x v="22"/>
    <s v="FIN03"/>
    <x v="0"/>
    <n v="87938"/>
    <s v="David Williams"/>
    <x v="2"/>
    <n v="5"/>
    <x v="0"/>
    <n v="1758.76"/>
  </r>
  <r>
    <x v="84"/>
    <s v="John"/>
    <s v="Johnson"/>
    <d v="2023-10-04T00:00:00"/>
    <x v="3"/>
    <s v="IT02"/>
    <x v="0"/>
    <n v="52287"/>
    <s v="John Johnson"/>
    <x v="0"/>
    <n v="2"/>
    <x v="1"/>
    <n v="2614.3500000000004"/>
  </r>
  <r>
    <x v="85"/>
    <s v="Richard"/>
    <s v="Gonzalez"/>
    <d v="2020-08-30T00:00:00"/>
    <x v="27"/>
    <s v="IT02"/>
    <x v="0"/>
    <n v="82633"/>
    <s v="Richard Gonzalez"/>
    <x v="0"/>
    <n v="5"/>
    <x v="4"/>
    <n v="9915.9599999999991"/>
  </r>
  <r>
    <x v="86"/>
    <s v="Melissa"/>
    <s v="Anderson"/>
    <d v="2021-08-14T00:00:00"/>
    <x v="45"/>
    <s v="OPS06"/>
    <x v="0"/>
    <n v="46508"/>
    <s v="Melissa Anderson"/>
    <x v="3"/>
    <n v="4"/>
    <x v="2"/>
    <n v="0"/>
  </r>
  <r>
    <x v="87"/>
    <s v="Emily"/>
    <s v="Gonzalez"/>
    <d v="2019-11-27T00:00:00"/>
    <x v="13"/>
    <s v="HR01"/>
    <x v="0"/>
    <n v="86232"/>
    <s v="Emily Gonzalez"/>
    <x v="5"/>
    <n v="6"/>
    <x v="3"/>
    <n v="6898.56"/>
  </r>
  <r>
    <x v="88"/>
    <s v="Jane"/>
    <s v="Davis"/>
    <d v="2017-05-25T00:00:00"/>
    <x v="10"/>
    <s v="IT02"/>
    <x v="0"/>
    <n v="77545"/>
    <s v="Jane Davis"/>
    <x v="0"/>
    <n v="9"/>
    <x v="2"/>
    <n v="0"/>
  </r>
  <r>
    <x v="89"/>
    <s v="William"/>
    <s v="Gonzalez"/>
    <d v="2018-12-02T00:00:00"/>
    <x v="20"/>
    <s v="OPS06"/>
    <x v="0"/>
    <n v="68683"/>
    <s v="William Gonzalez"/>
    <x v="3"/>
    <n v="7"/>
    <x v="3"/>
    <n v="5494.64"/>
  </r>
  <r>
    <x v="90"/>
    <s v="Thomas"/>
    <s v="Jones"/>
    <d v="2019-06-23T00:00:00"/>
    <x v="49"/>
    <s v="FIN03"/>
    <x v="1"/>
    <n v="83932"/>
    <s v="Thomas Jones"/>
    <x v="2"/>
    <n v="7"/>
    <x v="0"/>
    <n v="1678.64"/>
  </r>
  <r>
    <x v="91"/>
    <s v="Jessica"/>
    <s v="Anderson"/>
    <d v="2015-10-27T00:00:00"/>
    <x v="7"/>
    <s v="HR01"/>
    <x v="0"/>
    <n v="56073"/>
    <s v="Jessica Anderson"/>
    <x v="5"/>
    <n v="10"/>
    <x v="1"/>
    <n v="2803.65"/>
  </r>
  <r>
    <x v="92"/>
    <s v="Melissa"/>
    <s v="Johnson"/>
    <d v="2018-06-19T00:00:00"/>
    <x v="21"/>
    <s v="IT02"/>
    <x v="0"/>
    <n v="88056"/>
    <s v="Melissa Johnson"/>
    <x v="0"/>
    <n v="8"/>
    <x v="0"/>
    <n v="1761.1200000000001"/>
  </r>
  <r>
    <x v="93"/>
    <s v="Thomas"/>
    <s v="Miller"/>
    <d v="2018-01-12T00:00:00"/>
    <x v="31"/>
    <s v="OPS06"/>
    <x v="1"/>
    <n v="67414"/>
    <s v="Thomas Miller"/>
    <x v="3"/>
    <n v="8"/>
    <x v="1"/>
    <n v="3370.7000000000003"/>
  </r>
  <r>
    <x v="94"/>
    <s v="William"/>
    <s v="Gonzalez"/>
    <d v="2015-01-04T00:00:00"/>
    <x v="46"/>
    <s v="SAL05"/>
    <x v="0"/>
    <n v="115288"/>
    <s v="William Gonzalez"/>
    <x v="4"/>
    <n v="11"/>
    <x v="0"/>
    <n v="2305.7600000000002"/>
  </r>
  <r>
    <x v="95"/>
    <s v="unknown"/>
    <s v="Smith"/>
    <d v="2018-12-05T00:00:00"/>
    <x v="8"/>
    <s v="SAL05"/>
    <x v="0"/>
    <n v="80140"/>
    <s v="unknown Smith"/>
    <x v="4"/>
    <n v="7"/>
    <x v="0"/>
    <n v="1602.8"/>
  </r>
  <r>
    <x v="96"/>
    <s v="John"/>
    <s v="Johnson"/>
    <d v="2021-10-13T00:00:00"/>
    <x v="50"/>
    <s v="IT02"/>
    <x v="0"/>
    <n v="73087"/>
    <s v="John Johnson"/>
    <x v="0"/>
    <n v="4"/>
    <x v="0"/>
    <n v="1461.74"/>
  </r>
  <r>
    <x v="97"/>
    <s v="Jane"/>
    <s v="Johnson"/>
    <d v="2020-09-07T00:00:00"/>
    <x v="45"/>
    <s v="SAL05"/>
    <x v="0"/>
    <n v="95292"/>
    <s v="Jane Johnson"/>
    <x v="4"/>
    <n v="5"/>
    <x v="2"/>
    <n v="0"/>
  </r>
  <r>
    <x v="98"/>
    <s v="John"/>
    <s v="Jones"/>
    <d v="2019-03-08T00:00:00"/>
    <x v="37"/>
    <s v="IT02"/>
    <x v="0"/>
    <n v="80014"/>
    <s v="John Jones"/>
    <x v="0"/>
    <n v="7"/>
    <x v="2"/>
    <n v="0"/>
  </r>
  <r>
    <x v="99"/>
    <s v="Jane"/>
    <s v="Lopez"/>
    <d v="2015-03-11T00:00:00"/>
    <x v="31"/>
    <s v="MKT04"/>
    <x v="1"/>
    <n v="101750"/>
    <s v="Jane Lopez"/>
    <x v="1"/>
    <n v="11"/>
    <x v="1"/>
    <n v="5087.5"/>
  </r>
  <r>
    <x v="100"/>
    <s v="Melissa"/>
    <s v="Gonzalez"/>
    <d v="2017-02-19T00:00:00"/>
    <x v="7"/>
    <s v="MKT04"/>
    <x v="0"/>
    <n v="82992"/>
    <s v="Melissa Gonzalez"/>
    <x v="1"/>
    <n v="9"/>
    <x v="1"/>
    <n v="4149.6000000000004"/>
  </r>
  <r>
    <x v="101"/>
    <s v="William"/>
    <s v="Davis"/>
    <d v="2023-05-09T00:00:00"/>
    <x v="51"/>
    <s v="IT02"/>
    <x v="0"/>
    <n v="49942"/>
    <s v="William Davis"/>
    <x v="0"/>
    <n v="3"/>
    <x v="0"/>
    <n v="998.84"/>
  </r>
  <r>
    <x v="102"/>
    <s v="John"/>
    <s v="Smith"/>
    <d v="2018-01-22T00:00:00"/>
    <x v="8"/>
    <s v="OPS06"/>
    <x v="0"/>
    <n v="89060"/>
    <s v="John Smith"/>
    <x v="3"/>
    <n v="8"/>
    <x v="0"/>
    <n v="1781.2"/>
  </r>
  <r>
    <x v="103"/>
    <s v="James"/>
    <s v="Gonzalez"/>
    <d v="2020-02-18T00:00:00"/>
    <x v="27"/>
    <s v="IT02"/>
    <x v="0"/>
    <n v="53786"/>
    <s v="James Gonzalez"/>
    <x v="0"/>
    <n v="6"/>
    <x v="4"/>
    <n v="6454.32"/>
  </r>
  <r>
    <x v="104"/>
    <s v="Emily"/>
    <s v="Johnson"/>
    <d v="2016-05-22T00:00:00"/>
    <x v="3"/>
    <s v="OPS06"/>
    <x v="0"/>
    <n v="81167"/>
    <s v="Emily Johnson"/>
    <x v="3"/>
    <n v="10"/>
    <x v="1"/>
    <n v="4058.3500000000004"/>
  </r>
  <r>
    <x v="105"/>
    <s v="William"/>
    <s v="Williams"/>
    <d v="2021-06-02T00:00:00"/>
    <x v="4"/>
    <s v="MKT04"/>
    <x v="1"/>
    <n v="66688"/>
    <s v="William Williams"/>
    <x v="1"/>
    <n v="5"/>
    <x v="2"/>
    <n v="0"/>
  </r>
  <r>
    <x v="106"/>
    <s v="James"/>
    <s v="Jones"/>
    <d v="2021-07-17T00:00:00"/>
    <x v="16"/>
    <s v="IT02"/>
    <x v="0"/>
    <n v="91672"/>
    <s v="James Jones"/>
    <x v="0"/>
    <n v="4"/>
    <x v="3"/>
    <n v="7333.76"/>
  </r>
  <r>
    <x v="107"/>
    <s v="Jessica"/>
    <s v="Gonzalez"/>
    <d v="2016-11-13T00:00:00"/>
    <x v="11"/>
    <s v="HR01"/>
    <x v="0"/>
    <n v="77737"/>
    <s v="Jessica Gonzalez"/>
    <x v="5"/>
    <n v="9"/>
    <x v="1"/>
    <n v="3886.8500000000004"/>
  </r>
  <r>
    <x v="108"/>
    <s v="Sarah"/>
    <s v="Miller"/>
    <d v="2019-02-17T00:00:00"/>
    <x v="38"/>
    <s v="SAL05"/>
    <x v="0"/>
    <n v="95686"/>
    <s v="Sarah Miller"/>
    <x v="4"/>
    <n v="7"/>
    <x v="3"/>
    <n v="7654.88"/>
  </r>
  <r>
    <x v="109"/>
    <s v="Jessica"/>
    <s v="Smith"/>
    <d v="2016-09-12T00:00:00"/>
    <x v="42"/>
    <s v="SAL05"/>
    <x v="0"/>
    <n v="114681"/>
    <s v="Jessica Smith"/>
    <x v="4"/>
    <n v="9"/>
    <x v="2"/>
    <n v="0"/>
  </r>
  <r>
    <x v="110"/>
    <s v="Thomas"/>
    <s v="Jones"/>
    <d v="2021-08-13T00:00:00"/>
    <x v="24"/>
    <s v="OPS06"/>
    <x v="0"/>
    <n v="109121"/>
    <s v="Thomas Jones"/>
    <x v="3"/>
    <n v="4"/>
    <x v="1"/>
    <n v="5456.05"/>
  </r>
  <r>
    <x v="111"/>
    <s v="Amanda"/>
    <s v="Brown"/>
    <d v="2020-06-14T00:00:00"/>
    <x v="41"/>
    <s v="MKT04"/>
    <x v="0"/>
    <n v="112791"/>
    <s v="Amanda Brown"/>
    <x v="1"/>
    <n v="6"/>
    <x v="3"/>
    <n v="9023.2800000000007"/>
  </r>
  <r>
    <x v="112"/>
    <s v="Robert"/>
    <s v="Martinez"/>
    <d v="2022-07-05T00:00:00"/>
    <x v="28"/>
    <s v="IT02"/>
    <x v="0"/>
    <n v="118008"/>
    <s v="Robert Martinez"/>
    <x v="0"/>
    <n v="3"/>
    <x v="1"/>
    <n v="5900.4000000000005"/>
  </r>
  <r>
    <x v="113"/>
    <s v="Thomas"/>
    <s v="Miller"/>
    <d v="2016-07-10T00:00:00"/>
    <x v="52"/>
    <s v="IT02"/>
    <x v="0"/>
    <n v="74370"/>
    <s v="Thomas Miller"/>
    <x v="0"/>
    <n v="9"/>
    <x v="1"/>
    <n v="3718.5"/>
  </r>
  <r>
    <x v="114"/>
    <s v="David"/>
    <s v="Rodriguez"/>
    <d v="2022-04-23T00:00:00"/>
    <x v="7"/>
    <s v="IT02"/>
    <x v="0"/>
    <n v="77819"/>
    <s v="David Rodriguez"/>
    <x v="0"/>
    <n v="4"/>
    <x v="1"/>
    <n v="3890.9500000000003"/>
  </r>
  <r>
    <x v="115"/>
    <s v="Jane"/>
    <s v="Miller"/>
    <d v="2017-05-10T00:00:00"/>
    <x v="53"/>
    <s v="MKT04"/>
    <x v="0"/>
    <n v="48748"/>
    <s v="Jane Miller"/>
    <x v="1"/>
    <n v="9"/>
    <x v="1"/>
    <n v="2437.4"/>
  </r>
  <r>
    <x v="116"/>
    <s v="James"/>
    <s v="Rodriguez"/>
    <d v="2020-05-20T00:00:00"/>
    <x v="54"/>
    <s v="OPS06"/>
    <x v="2"/>
    <n v="101997"/>
    <s v="James Rodriguez"/>
    <x v="3"/>
    <n v="6"/>
    <x v="2"/>
    <n v="0"/>
  </r>
  <r>
    <x v="117"/>
    <s v="Sarah"/>
    <s v="Rodriguez"/>
    <d v="2023-04-20T00:00:00"/>
    <x v="11"/>
    <s v="HR01"/>
    <x v="0"/>
    <n v="115260"/>
    <s v="Sarah Rodriguez"/>
    <x v="5"/>
    <n v="3"/>
    <x v="1"/>
    <n v="5763"/>
  </r>
  <r>
    <x v="118"/>
    <s v="Sarah"/>
    <s v="Wilson"/>
    <d v="2021-10-31T00:00:00"/>
    <x v="5"/>
    <s v="SAL05"/>
    <x v="0"/>
    <n v="87282"/>
    <s v="Sarah Wilson"/>
    <x v="4"/>
    <n v="4"/>
    <x v="2"/>
    <n v="0"/>
  </r>
  <r>
    <x v="119"/>
    <s v="Melissa"/>
    <s v="Brown"/>
    <d v="2021-10-24T00:00:00"/>
    <x v="50"/>
    <s v="IT02"/>
    <x v="1"/>
    <n v="80014"/>
    <s v="Melissa Brown"/>
    <x v="0"/>
    <n v="4"/>
    <x v="0"/>
    <n v="1600.28"/>
  </r>
  <r>
    <x v="120"/>
    <s v="Robert"/>
    <s v="Williams"/>
    <d v="2017-08-09T00:00:00"/>
    <x v="30"/>
    <s v="SAL05"/>
    <x v="0"/>
    <n v="87282"/>
    <s v="Robert Williams"/>
    <x v="4"/>
    <n v="8"/>
    <x v="1"/>
    <n v="4364.1000000000004"/>
  </r>
  <r>
    <x v="121"/>
    <s v="Melissa"/>
    <s v="Rodriguez"/>
    <d v="2023-01-04T00:00:00"/>
    <x v="25"/>
    <s v="OPS06"/>
    <x v="0"/>
    <n v="60623"/>
    <s v="Melissa Rodriguez"/>
    <x v="3"/>
    <n v="3"/>
    <x v="1"/>
    <n v="3031.15"/>
  </r>
  <r>
    <x v="122"/>
    <s v="James"/>
    <s v="Johnson"/>
    <d v="2020-08-10T00:00:00"/>
    <x v="13"/>
    <s v="HR01"/>
    <x v="0"/>
    <n v="68092"/>
    <s v="James Johnson"/>
    <x v="5"/>
    <n v="5"/>
    <x v="3"/>
    <n v="5447.36"/>
  </r>
  <r>
    <x v="123"/>
    <s v="Michael"/>
    <s v="Wilson"/>
    <d v="2022-04-02T00:00:00"/>
    <x v="22"/>
    <s v="MKT04"/>
    <x v="0"/>
    <n v="88155"/>
    <s v="Michael Wilson"/>
    <x v="1"/>
    <n v="4"/>
    <x v="0"/>
    <n v="1763.1000000000001"/>
  </r>
  <r>
    <x v="124"/>
    <s v="William"/>
    <s v="Jones"/>
    <d v="2018-03-24T00:00:00"/>
    <x v="12"/>
    <s v="MKT04"/>
    <x v="0"/>
    <n v="107903"/>
    <s v="William Jones"/>
    <x v="1"/>
    <n v="8"/>
    <x v="2"/>
    <n v="0"/>
  </r>
  <r>
    <x v="125"/>
    <s v="William"/>
    <s v="Williams"/>
    <d v="2018-07-24T00:00:00"/>
    <x v="45"/>
    <s v="IT02"/>
    <x v="0"/>
    <n v="62818"/>
    <s v="William Williams"/>
    <x v="0"/>
    <n v="7"/>
    <x v="2"/>
    <n v="0"/>
  </r>
  <r>
    <x v="126"/>
    <s v="David"/>
    <s v="Williams"/>
    <d v="2018-07-20T00:00:00"/>
    <x v="55"/>
    <s v="HR01"/>
    <x v="0"/>
    <n v="85151"/>
    <s v="David Williams"/>
    <x v="5"/>
    <n v="7"/>
    <x v="2"/>
    <n v="0"/>
  </r>
  <r>
    <x v="127"/>
    <s v="Jane"/>
    <s v="Davis"/>
    <d v="2016-03-04T00:00:00"/>
    <x v="35"/>
    <s v="FIN03"/>
    <x v="0"/>
    <n v="46390"/>
    <s v="Jane Davis"/>
    <x v="2"/>
    <n v="10"/>
    <x v="4"/>
    <n v="5566.8"/>
  </r>
  <r>
    <x v="128"/>
    <s v="John"/>
    <s v="Martinez"/>
    <d v="2022-03-23T00:00:00"/>
    <x v="20"/>
    <s v="HR01"/>
    <x v="1"/>
    <n v="111920"/>
    <s v="John Martinez"/>
    <x v="5"/>
    <n v="4"/>
    <x v="3"/>
    <n v="8953.6"/>
  </r>
  <r>
    <x v="129"/>
    <s v="David"/>
    <s v="Anderson"/>
    <d v="2017-07-28T00:00:00"/>
    <x v="12"/>
    <s v="HR01"/>
    <x v="0"/>
    <n v="115618"/>
    <s v="David Anderson"/>
    <x v="5"/>
    <n v="8"/>
    <x v="2"/>
    <n v="0"/>
  </r>
  <r>
    <x v="130"/>
    <s v="Sarah"/>
    <s v="Smith"/>
    <d v="2023-05-11T00:00:00"/>
    <x v="16"/>
    <s v="SAL05"/>
    <x v="2"/>
    <n v="110618"/>
    <s v="Sarah Smith"/>
    <x v="4"/>
    <n v="3"/>
    <x v="3"/>
    <n v="8849.44"/>
  </r>
  <r>
    <x v="131"/>
    <s v="Melissa"/>
    <s v="Hernandez"/>
    <d v="2022-03-19T00:00:00"/>
    <x v="25"/>
    <s v="OPS06"/>
    <x v="1"/>
    <n v="108395"/>
    <s v="Melissa Hernandez"/>
    <x v="3"/>
    <n v="4"/>
    <x v="1"/>
    <n v="5419.75"/>
  </r>
  <r>
    <x v="132"/>
    <s v="Melissa"/>
    <s v="Johnson"/>
    <d v="2017-12-22T00:00:00"/>
    <x v="50"/>
    <s v="FIN03"/>
    <x v="0"/>
    <n v="88005"/>
    <s v="Melissa Johnson"/>
    <x v="2"/>
    <n v="8"/>
    <x v="0"/>
    <n v="1760.1000000000001"/>
  </r>
  <r>
    <x v="133"/>
    <s v="Jane"/>
    <s v="Garcia"/>
    <d v="2021-08-29T00:00:00"/>
    <x v="52"/>
    <s v="MKT04"/>
    <x v="0"/>
    <n v="83007"/>
    <s v="Jane Garcia"/>
    <x v="1"/>
    <n v="4"/>
    <x v="1"/>
    <n v="4150.3500000000004"/>
  </r>
  <r>
    <x v="134"/>
    <s v="David"/>
    <s v="Davis"/>
    <d v="2018-09-17T00:00:00"/>
    <x v="22"/>
    <s v="IT02"/>
    <x v="0"/>
    <n v="61547"/>
    <s v="David Davis"/>
    <x v="0"/>
    <n v="7"/>
    <x v="0"/>
    <n v="1230.94"/>
  </r>
  <r>
    <x v="135"/>
    <s v="James"/>
    <s v="Wilson"/>
    <d v="2021-06-28T00:00:00"/>
    <x v="0"/>
    <s v="SAL05"/>
    <x v="0"/>
    <n v="87282"/>
    <s v="James Wilson"/>
    <x v="4"/>
    <n v="5"/>
    <x v="0"/>
    <n v="1745.64"/>
  </r>
  <r>
    <x v="136"/>
    <s v="Richard"/>
    <s v="Johnson"/>
    <d v="2017-10-03T00:00:00"/>
    <x v="56"/>
    <s v="OPS06"/>
    <x v="1"/>
    <n v="50399"/>
    <s v="Richard Johnson"/>
    <x v="3"/>
    <n v="8"/>
    <x v="3"/>
    <n v="4031.92"/>
  </r>
  <r>
    <x v="137"/>
    <s v="Richard"/>
    <s v="Williams"/>
    <d v="2015-10-22T00:00:00"/>
    <x v="9"/>
    <s v="FIN03"/>
    <x v="0"/>
    <n v="87938"/>
    <s v="Richard Williams"/>
    <x v="2"/>
    <n v="10"/>
    <x v="0"/>
    <n v="1758.76"/>
  </r>
  <r>
    <x v="138"/>
    <s v="John"/>
    <s v="Hernandez"/>
    <d v="2018-06-06T00:00:00"/>
    <x v="22"/>
    <s v="OPS06"/>
    <x v="0"/>
    <n v="52720"/>
    <s v="John Hernandez"/>
    <x v="3"/>
    <n v="8"/>
    <x v="0"/>
    <n v="1054.4000000000001"/>
  </r>
  <r>
    <x v="139"/>
    <s v="Sarah"/>
    <s v="Gonzalez"/>
    <d v="2017-07-16T00:00:00"/>
    <x v="27"/>
    <s v="OPS06"/>
    <x v="0"/>
    <n v="65065"/>
    <s v="Sarah Gonzalez"/>
    <x v="3"/>
    <n v="8"/>
    <x v="4"/>
    <n v="7807.7999999999993"/>
  </r>
  <r>
    <x v="140"/>
    <s v="Melissa"/>
    <s v="Hernandez"/>
    <d v="2015-06-20T00:00:00"/>
    <x v="47"/>
    <s v="SAL05"/>
    <x v="2"/>
    <n v="87282"/>
    <s v="Melissa Hernandez"/>
    <x v="4"/>
    <n v="11"/>
    <x v="3"/>
    <n v="6982.56"/>
  </r>
  <r>
    <x v="141"/>
    <s v="Melissa"/>
    <s v="Hernandez"/>
    <d v="2019-05-24T00:00:00"/>
    <x v="49"/>
    <s v="OPS06"/>
    <x v="2"/>
    <n v="108119"/>
    <s v="Melissa Hernandez"/>
    <x v="3"/>
    <n v="7"/>
    <x v="0"/>
    <n v="2162.38"/>
  </r>
  <r>
    <x v="142"/>
    <s v="John"/>
    <s v="Davis"/>
    <d v="2020-02-26T00:00:00"/>
    <x v="34"/>
    <s v="IT02"/>
    <x v="0"/>
    <n v="80014"/>
    <s v="John Davis"/>
    <x v="0"/>
    <n v="6"/>
    <x v="4"/>
    <n v="9601.68"/>
  </r>
  <r>
    <x v="143"/>
    <s v="Richard"/>
    <s v="Davis"/>
    <d v="2023-03-06T00:00:00"/>
    <x v="0"/>
    <s v="HR01"/>
    <x v="1"/>
    <n v="106896"/>
    <s v="Richard Davis"/>
    <x v="5"/>
    <n v="3"/>
    <x v="0"/>
    <n v="2137.92"/>
  </r>
  <r>
    <x v="144"/>
    <s v="unknown"/>
    <s v="Jones"/>
    <d v="2019-01-12T00:00:00"/>
    <x v="19"/>
    <s v="IT02"/>
    <x v="0"/>
    <n v="112887"/>
    <s v="unknown Jones"/>
    <x v="0"/>
    <n v="7"/>
    <x v="0"/>
    <n v="2257.7400000000002"/>
  </r>
  <r>
    <x v="145"/>
    <s v="William"/>
    <s v="Rodriguez"/>
    <d v="2023-04-21T00:00:00"/>
    <x v="7"/>
    <s v="FIN03"/>
    <x v="0"/>
    <n v="85457"/>
    <s v="William Rodriguez"/>
    <x v="2"/>
    <n v="3"/>
    <x v="1"/>
    <n v="4272.8500000000004"/>
  </r>
  <r>
    <x v="146"/>
    <s v="Melissa"/>
    <s v="Miller"/>
    <d v="2016-05-29T00:00:00"/>
    <x v="26"/>
    <s v="SAL05"/>
    <x v="0"/>
    <n v="62798"/>
    <s v="Melissa Miller"/>
    <x v="4"/>
    <n v="10"/>
    <x v="2"/>
    <n v="0"/>
  </r>
  <r>
    <x v="147"/>
    <s v="Emily"/>
    <s v="Martinez"/>
    <d v="2022-05-30T00:00:00"/>
    <x v="57"/>
    <s v="OPS06"/>
    <x v="1"/>
    <n v="47794"/>
    <s v="Emily Martinez"/>
    <x v="3"/>
    <n v="4"/>
    <x v="1"/>
    <n v="2389.7000000000003"/>
  </r>
  <r>
    <x v="148"/>
    <s v="James"/>
    <s v="Rodriguez"/>
    <d v="2016-11-03T00:00:00"/>
    <x v="1"/>
    <s v="MKT04"/>
    <x v="0"/>
    <n v="93094"/>
    <s v="James Rodriguez"/>
    <x v="1"/>
    <n v="9"/>
    <x v="1"/>
    <n v="4654.7"/>
  </r>
  <r>
    <x v="149"/>
    <s v="Amanda"/>
    <s v="Brown"/>
    <d v="2022-10-14T00:00:00"/>
    <x v="38"/>
    <s v="IT02"/>
    <x v="0"/>
    <n v="118634"/>
    <s v="Amanda Brown"/>
    <x v="0"/>
    <n v="3"/>
    <x v="3"/>
    <n v="9490.7199999999993"/>
  </r>
  <r>
    <x v="150"/>
    <m/>
    <m/>
    <m/>
    <x v="58"/>
    <m/>
    <x v="3"/>
    <m/>
    <m/>
    <x v="6"/>
    <m/>
    <x v="5"/>
    <m/>
  </r>
  <r>
    <x v="150"/>
    <m/>
    <m/>
    <m/>
    <x v="58"/>
    <m/>
    <x v="3"/>
    <m/>
    <s v=""/>
    <x v="6"/>
    <m/>
    <x v="5"/>
    <m/>
  </r>
  <r>
    <x v="150"/>
    <m/>
    <m/>
    <m/>
    <x v="58"/>
    <m/>
    <x v="3"/>
    <m/>
    <s v=""/>
    <x v="6"/>
    <m/>
    <x v="5"/>
    <m/>
  </r>
  <r>
    <x v="150"/>
    <m/>
    <m/>
    <m/>
    <x v="58"/>
    <m/>
    <x v="3"/>
    <m/>
    <s v=""/>
    <x v="6"/>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EDC92E-C7DD-47F9-8E91-ABD2AC6A4273}"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Status">
  <location ref="L6:N7" firstHeaderRow="0" firstDataRow="1" firstDataCol="0"/>
  <pivotFields count="13">
    <pivotField dataField="1"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pivotField dataField="1" showAll="0">
      <items count="60">
        <item x="26"/>
        <item x="18"/>
        <item x="37"/>
        <item x="45"/>
        <item x="55"/>
        <item x="42"/>
        <item x="54"/>
        <item x="4"/>
        <item x="12"/>
        <item x="6"/>
        <item x="39"/>
        <item x="10"/>
        <item x="5"/>
        <item x="15"/>
        <item x="51"/>
        <item x="0"/>
        <item x="32"/>
        <item x="2"/>
        <item x="29"/>
        <item x="49"/>
        <item x="8"/>
        <item x="19"/>
        <item x="46"/>
        <item x="9"/>
        <item x="33"/>
        <item x="17"/>
        <item x="36"/>
        <item x="21"/>
        <item x="44"/>
        <item x="22"/>
        <item x="50"/>
        <item x="3"/>
        <item x="28"/>
        <item x="24"/>
        <item x="57"/>
        <item x="1"/>
        <item x="14"/>
        <item x="30"/>
        <item x="11"/>
        <item x="25"/>
        <item x="7"/>
        <item x="23"/>
        <item x="48"/>
        <item x="52"/>
        <item x="53"/>
        <item x="31"/>
        <item x="41"/>
        <item x="16"/>
        <item x="20"/>
        <item x="38"/>
        <item x="56"/>
        <item x="13"/>
        <item x="47"/>
        <item x="35"/>
        <item x="34"/>
        <item x="43"/>
        <item x="27"/>
        <item x="40"/>
        <item x="58"/>
        <item t="default"/>
      </items>
    </pivotField>
    <pivotField showAll="0"/>
    <pivotField showAll="0">
      <items count="5">
        <item x="0"/>
        <item x="1"/>
        <item x="2"/>
        <item h="1" x="3"/>
        <item t="default"/>
      </items>
    </pivotField>
    <pivotField dataField="1" showAll="0"/>
    <pivotField showAll="0"/>
    <pivotField showAll="0">
      <items count="8">
        <item x="2"/>
        <item x="5"/>
        <item x="0"/>
        <item x="1"/>
        <item x="3"/>
        <item x="4"/>
        <item x="6"/>
        <item t="default"/>
      </items>
    </pivotField>
    <pivotField showAll="0"/>
    <pivotField showAll="0">
      <items count="7">
        <item x="1"/>
        <item x="0"/>
        <item x="3"/>
        <item x="2"/>
        <item x="4"/>
        <item h="1" x="5"/>
        <item t="default"/>
      </items>
    </pivotField>
    <pivotField showAll="0"/>
  </pivotFields>
  <rowItems count="1">
    <i/>
  </rowItems>
  <colFields count="1">
    <field x="-2"/>
  </colFields>
  <colItems count="3">
    <i>
      <x/>
    </i>
    <i i="1">
      <x v="1"/>
    </i>
    <i i="2">
      <x v="2"/>
    </i>
  </colItems>
  <dataFields count="3">
    <dataField name="Average of Salary" fld="7" subtotal="average" baseField="0" baseItem="1" numFmtId="166"/>
    <dataField name="Count of Emp ID" fld="0" subtotal="count" baseField="0" baseItem="0" numFmtId="1"/>
    <dataField name="Average of pref score" fld="4" subtotal="average" baseField="0" baseItem="1"/>
  </dataFields>
  <formats count="4">
    <format dxfId="114">
      <pivotArea field="9" type="button" dataOnly="0" labelOnly="1" outline="0"/>
    </format>
    <format dxfId="115">
      <pivotArea grandRow="1" outline="0" collapsedLevelsAreSubtotals="1" fieldPosition="0"/>
    </format>
    <format dxfId="67">
      <pivotArea outline="0" collapsedLevelsAreSubtotals="1" fieldPosition="0">
        <references count="1">
          <reference field="4294967294" count="1" selected="0">
            <x v="0"/>
          </reference>
        </references>
      </pivotArea>
    </format>
    <format dxfId="6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FD8F8B-6AE5-47E9-85CD-D5FFF059BCCF}"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Status">
  <location ref="F3:G6" firstHeaderRow="1" firstDataRow="1" firstDataCol="1"/>
  <pivotFields count="13">
    <pivotField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pivotField dataField="1" showAll="0">
      <items count="60">
        <item x="26"/>
        <item x="18"/>
        <item x="37"/>
        <item x="45"/>
        <item x="55"/>
        <item x="42"/>
        <item x="54"/>
        <item x="4"/>
        <item x="12"/>
        <item x="6"/>
        <item x="39"/>
        <item x="10"/>
        <item x="5"/>
        <item x="15"/>
        <item x="51"/>
        <item x="0"/>
        <item x="32"/>
        <item x="2"/>
        <item x="29"/>
        <item x="49"/>
        <item x="8"/>
        <item x="19"/>
        <item x="46"/>
        <item x="9"/>
        <item x="33"/>
        <item x="17"/>
        <item x="36"/>
        <item x="21"/>
        <item x="44"/>
        <item x="22"/>
        <item x="50"/>
        <item x="3"/>
        <item x="28"/>
        <item x="24"/>
        <item x="57"/>
        <item x="1"/>
        <item x="14"/>
        <item x="30"/>
        <item x="11"/>
        <item x="25"/>
        <item x="7"/>
        <item x="23"/>
        <item x="48"/>
        <item x="52"/>
        <item x="53"/>
        <item x="31"/>
        <item x="41"/>
        <item x="16"/>
        <item x="20"/>
        <item x="38"/>
        <item x="56"/>
        <item x="13"/>
        <item x="47"/>
        <item x="35"/>
        <item x="34"/>
        <item x="43"/>
        <item x="27"/>
        <item x="40"/>
        <item x="58"/>
        <item t="default"/>
      </items>
    </pivotField>
    <pivotField showAll="0"/>
    <pivotField axis="axisRow" showAll="0">
      <items count="5">
        <item x="0"/>
        <item x="1"/>
        <item x="2"/>
        <item h="1" x="3"/>
        <item t="default"/>
      </items>
    </pivotField>
    <pivotField showAll="0"/>
    <pivotField showAll="0"/>
    <pivotField showAll="0">
      <items count="8">
        <item x="2"/>
        <item x="5"/>
        <item x="0"/>
        <item x="1"/>
        <item x="3"/>
        <item x="4"/>
        <item x="6"/>
        <item t="default"/>
      </items>
    </pivotField>
    <pivotField showAll="0"/>
    <pivotField showAll="0">
      <items count="7">
        <item x="1"/>
        <item x="0"/>
        <item x="3"/>
        <item x="2"/>
        <item x="4"/>
        <item h="1" x="5"/>
        <item t="default"/>
      </items>
    </pivotField>
    <pivotField showAll="0"/>
  </pivotFields>
  <rowFields count="1">
    <field x="6"/>
  </rowFields>
  <rowItems count="3">
    <i>
      <x/>
    </i>
    <i>
      <x v="1"/>
    </i>
    <i>
      <x v="2"/>
    </i>
  </rowItems>
  <colItems count="1">
    <i/>
  </colItems>
  <dataFields count="1">
    <dataField name="Average  pref score" fld="4" subtotal="average" baseField="6" baseItem="0"/>
  </dataFields>
  <formats count="4">
    <format dxfId="137">
      <pivotArea field="9" type="button" dataOnly="0" labelOnly="1" outline="0"/>
    </format>
    <format dxfId="136">
      <pivotArea collapsedLevelsAreSubtotals="1" fieldPosition="0">
        <references count="1">
          <reference field="6" count="1">
            <x v="0"/>
          </reference>
        </references>
      </pivotArea>
    </format>
    <format dxfId="135">
      <pivotArea collapsedLevelsAreSubtotals="1" fieldPosition="0">
        <references count="1">
          <reference field="6" count="1">
            <x v="1"/>
          </reference>
        </references>
      </pivotArea>
    </format>
    <format dxfId="134">
      <pivotArea grandRow="1"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56F931-D148-475E-B062-9CA3BF7E79DB}" name="PivotTable1"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4" rowHeaderCaption="Department">
  <location ref="A3:C10" firstHeaderRow="0" firstDataRow="1" firstDataCol="1"/>
  <pivotFields count="13">
    <pivotField dataField="1"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pivotField showAll="0"/>
    <pivotField showAll="0"/>
    <pivotField showAll="0">
      <items count="5">
        <item x="0"/>
        <item x="1"/>
        <item x="2"/>
        <item h="1" x="3"/>
        <item t="default"/>
      </items>
    </pivotField>
    <pivotField dataField="1" showAll="0"/>
    <pivotField showAll="0"/>
    <pivotField axis="axisRow" showAll="0">
      <items count="8">
        <item x="2"/>
        <item x="5"/>
        <item x="0"/>
        <item x="1"/>
        <item x="3"/>
        <item x="4"/>
        <item h="1" x="6"/>
        <item t="default"/>
      </items>
    </pivotField>
    <pivotField showAll="0"/>
    <pivotField showAll="0">
      <items count="7">
        <item h="1" x="1"/>
        <item h="1" x="0"/>
        <item h="1" x="3"/>
        <item h="1" x="2"/>
        <item x="4"/>
        <item h="1" x="5"/>
        <item t="default"/>
      </items>
    </pivotField>
    <pivotField showAll="0"/>
  </pivotFields>
  <rowFields count="1">
    <field x="9"/>
  </rowFields>
  <rowItems count="7">
    <i>
      <x/>
    </i>
    <i>
      <x v="1"/>
    </i>
    <i>
      <x v="2"/>
    </i>
    <i>
      <x v="3"/>
    </i>
    <i>
      <x v="4"/>
    </i>
    <i>
      <x v="5"/>
    </i>
    <i t="grand">
      <x/>
    </i>
  </rowItems>
  <colFields count="1">
    <field x="-2"/>
  </colFields>
  <colItems count="2">
    <i>
      <x/>
    </i>
    <i i="1">
      <x v="1"/>
    </i>
  </colItems>
  <dataFields count="2">
    <dataField name="Headcount" fld="0" subtotal="count" baseField="0" baseItem="0"/>
    <dataField name="Average of Salary" fld="7" subtotal="average" baseField="9" baseItem="0" numFmtId="170"/>
  </dataFields>
  <formats count="4">
    <format dxfId="141">
      <pivotArea dataOnly="0" labelOnly="1" outline="0" fieldPosition="0">
        <references count="1">
          <reference field="4294967294" count="1">
            <x v="1"/>
          </reference>
        </references>
      </pivotArea>
    </format>
    <format dxfId="140">
      <pivotArea collapsedLevelsAreSubtotals="1" fieldPosition="0">
        <references count="2">
          <reference field="4294967294" count="1" selected="0">
            <x v="1"/>
          </reference>
          <reference field="9" count="0"/>
        </references>
      </pivotArea>
    </format>
    <format dxfId="139">
      <pivotArea field="9" grandRow="1" outline="0" collapsedLevelsAreSubtotals="1" axis="axisRow" fieldPosition="0">
        <references count="1">
          <reference field="4294967294" count="1" selected="0">
            <x v="1"/>
          </reference>
        </references>
      </pivotArea>
    </format>
    <format dxfId="138">
      <pivotArea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815362-6C73-4838-B229-CD81418F5F7E}" name="PivotTable5" cacheId="0" applyNumberFormats="0" applyBorderFormats="0" applyFontFormats="0" applyPatternFormats="0" applyAlignmentFormats="0" applyWidthHeightFormats="1" dataCaption="Values" grandTotalCaption="Overall" updatedVersion="8" minRefreshableVersion="3" useAutoFormatting="1" itemPrintTitles="1" createdVersion="8" indent="0" outline="1" outlineData="1" multipleFieldFilters="0" chartFormat="9" rowHeaderCaption="Department">
  <location ref="F14:J22" firstHeaderRow="1" firstDataRow="2" firstDataCol="1"/>
  <pivotFields count="13">
    <pivotField dataField="1"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pivotField showAll="0"/>
    <pivotField showAll="0">
      <items count="8">
        <item x="2"/>
        <item x="5"/>
        <item x="0"/>
        <item x="1"/>
        <item x="3"/>
        <item x="4"/>
        <item x="6"/>
        <item t="default"/>
      </items>
    </pivotField>
    <pivotField axis="axisCol" multipleItemSelectionAllowed="1" showAll="0">
      <items count="5">
        <item x="0"/>
        <item x="1"/>
        <item x="2"/>
        <item h="1" x="3"/>
        <item t="default"/>
      </items>
    </pivotField>
    <pivotField showAll="0"/>
    <pivotField showAll="0"/>
    <pivotField axis="axisRow" showAll="0">
      <items count="8">
        <item x="2"/>
        <item x="5"/>
        <item x="0"/>
        <item x="1"/>
        <item x="3"/>
        <item x="4"/>
        <item h="1" x="6"/>
        <item t="default"/>
      </items>
    </pivotField>
    <pivotField showAll="0"/>
    <pivotField showAll="0">
      <items count="7">
        <item h="1" x="1"/>
        <item h="1" x="0"/>
        <item h="1" x="3"/>
        <item h="1" x="2"/>
        <item x="4"/>
        <item h="1" x="5"/>
        <item t="default"/>
      </items>
    </pivotField>
    <pivotField showAll="0"/>
  </pivotFields>
  <rowFields count="1">
    <field x="9"/>
  </rowFields>
  <rowItems count="7">
    <i>
      <x/>
    </i>
    <i>
      <x v="1"/>
    </i>
    <i>
      <x v="2"/>
    </i>
    <i>
      <x v="3"/>
    </i>
    <i>
      <x v="4"/>
    </i>
    <i>
      <x v="5"/>
    </i>
    <i t="grand">
      <x/>
    </i>
  </rowItems>
  <colFields count="1">
    <field x="6"/>
  </colFields>
  <colItems count="4">
    <i>
      <x/>
    </i>
    <i>
      <x v="1"/>
    </i>
    <i>
      <x v="2"/>
    </i>
    <i t="grand">
      <x/>
    </i>
  </colItems>
  <dataFields count="1">
    <dataField name="Count of Emp ID" fld="0" subtotal="count" showDataAs="percentOfRow" baseField="9" baseItem="0" numFmtId="9"/>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4" format="6" series="1">
      <pivotArea type="data" outline="0" fieldPosition="0">
        <references count="2">
          <reference field="4294967294" count="1" selected="0">
            <x v="0"/>
          </reference>
          <reference field="6" count="1" selected="0">
            <x v="0"/>
          </reference>
        </references>
      </pivotArea>
    </chartFormat>
    <chartFormat chart="4" format="7" series="1">
      <pivotArea type="data" outline="0" fieldPosition="0">
        <references count="2">
          <reference field="4294967294" count="1" selected="0">
            <x v="0"/>
          </reference>
          <reference field="6" count="1" selected="0">
            <x v="1"/>
          </reference>
        </references>
      </pivotArea>
    </chartFormat>
    <chartFormat chart="4"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F8A487-E683-4A33-930D-73096B371E62}" name="PivotTable4" cacheId="1" applyNumberFormats="0" applyBorderFormats="0" applyFontFormats="0" applyPatternFormats="0" applyAlignmentFormats="0" applyWidthHeightFormats="1" dataCaption="Values" grandTotalCaption=" Total" updatedVersion="8" minRefreshableVersion="3" useAutoFormatting="1" itemPrintTitles="1" createdVersion="8" indent="0" outline="1" outlineData="1" multipleFieldFilters="0" chartFormat="16" rowHeaderCaption="performance brand">
  <location ref="A14:B20" firstHeaderRow="1" firstDataRow="1" firstDataCol="1"/>
  <pivotFields count="13">
    <pivotField showAll="0">
      <items count="152">
        <item x="66"/>
        <item x="136"/>
        <item x="121"/>
        <item x="113"/>
        <item x="56"/>
        <item x="91"/>
        <item x="118"/>
        <item x="100"/>
        <item x="109"/>
        <item x="22"/>
        <item x="63"/>
        <item x="48"/>
        <item x="21"/>
        <item x="110"/>
        <item x="29"/>
        <item x="12"/>
        <item x="61"/>
        <item x="114"/>
        <item x="20"/>
        <item x="10"/>
        <item x="145"/>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46"/>
        <item x="116"/>
        <item x="83"/>
        <item x="143"/>
        <item x="30"/>
        <item x="44"/>
        <item x="97"/>
        <item x="41"/>
        <item x="49"/>
        <item x="96"/>
        <item x="24"/>
        <item x="70"/>
        <item x="105"/>
        <item x="34"/>
        <item x="77"/>
        <item x="53"/>
        <item x="142"/>
        <item x="130"/>
        <item x="108"/>
        <item x="64"/>
        <item x="104"/>
        <item x="148"/>
        <item x="88"/>
        <item x="8"/>
        <item x="6"/>
        <item x="89"/>
        <item x="7"/>
        <item x="28"/>
        <item x="140"/>
        <item x="120"/>
        <item x="59"/>
        <item x="149"/>
        <item x="139"/>
        <item x="85"/>
        <item x="35"/>
        <item x="147"/>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x="150"/>
        <item t="default"/>
      </items>
    </pivotField>
    <pivotField showAll="0"/>
    <pivotField showAll="0"/>
    <pivotField showAll="0"/>
    <pivotField showAll="0">
      <items count="60">
        <item x="26"/>
        <item x="18"/>
        <item x="37"/>
        <item x="45"/>
        <item x="55"/>
        <item x="42"/>
        <item x="54"/>
        <item x="4"/>
        <item x="12"/>
        <item x="6"/>
        <item x="39"/>
        <item x="10"/>
        <item x="5"/>
        <item x="15"/>
        <item x="51"/>
        <item x="0"/>
        <item x="32"/>
        <item x="2"/>
        <item x="29"/>
        <item x="49"/>
        <item x="8"/>
        <item x="19"/>
        <item x="46"/>
        <item x="9"/>
        <item x="33"/>
        <item x="17"/>
        <item x="36"/>
        <item x="21"/>
        <item x="44"/>
        <item x="22"/>
        <item x="50"/>
        <item x="3"/>
        <item x="28"/>
        <item x="24"/>
        <item x="57"/>
        <item x="1"/>
        <item x="14"/>
        <item x="30"/>
        <item x="11"/>
        <item x="25"/>
        <item x="7"/>
        <item x="23"/>
        <item x="48"/>
        <item x="52"/>
        <item x="53"/>
        <item x="31"/>
        <item x="41"/>
        <item x="16"/>
        <item x="20"/>
        <item x="38"/>
        <item x="56"/>
        <item x="13"/>
        <item x="47"/>
        <item x="35"/>
        <item x="34"/>
        <item x="43"/>
        <item x="27"/>
        <item x="40"/>
        <item x="58"/>
        <item t="default"/>
      </items>
    </pivotField>
    <pivotField showAll="0"/>
    <pivotField showAll="0">
      <items count="5">
        <item x="0"/>
        <item x="1"/>
        <item x="2"/>
        <item x="3"/>
        <item t="default"/>
      </items>
    </pivotField>
    <pivotField showAll="0"/>
    <pivotField showAll="0"/>
    <pivotField showAll="0">
      <items count="8">
        <item x="2"/>
        <item x="5"/>
        <item x="0"/>
        <item x="1"/>
        <item x="3"/>
        <item x="4"/>
        <item x="6"/>
        <item t="default"/>
      </items>
    </pivotField>
    <pivotField showAll="0"/>
    <pivotField axis="axisRow" showAll="0">
      <items count="7">
        <item x="1"/>
        <item x="0"/>
        <item x="3"/>
        <item x="2"/>
        <item x="4"/>
        <item h="1" x="5"/>
        <item t="default"/>
      </items>
    </pivotField>
    <pivotField dataField="1" showAll="0"/>
  </pivotFields>
  <rowFields count="1">
    <field x="11"/>
  </rowFields>
  <rowItems count="6">
    <i>
      <x/>
    </i>
    <i>
      <x v="1"/>
    </i>
    <i>
      <x v="2"/>
    </i>
    <i>
      <x v="3"/>
    </i>
    <i>
      <x v="4"/>
    </i>
    <i t="grand">
      <x/>
    </i>
  </rowItems>
  <colItems count="1">
    <i/>
  </colItems>
  <dataFields count="1">
    <dataField name=" bonus amount payout" fld="12" baseField="0" baseItem="0" numFmtId="168"/>
  </dataFields>
  <formats count="3">
    <format dxfId="144">
      <pivotArea field="9" type="button" dataOnly="0" labelOnly="1" outline="0"/>
    </format>
    <format dxfId="143">
      <pivotArea grandRow="1" outline="0" collapsedLevelsAreSubtotals="1" fieldPosition="0"/>
    </format>
    <format dxfId="142">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AFCD355F-BEF3-4766-8117-3F45A8DA2F9E}" sourceName="Employment status">
  <pivotTables>
    <pivotTable tabId="5" name="PivotTable1"/>
    <pivotTable tabId="5" name="PivotTable5"/>
  </pivotTables>
  <data>
    <tabular pivotCacheId="1845935447">
      <items count="4">
        <i x="0" s="1"/>
        <i x="1" s="1"/>
        <i x="2"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emant_Name" xr10:uid="{C802A810-677B-4BF5-96ED-AE89E8385178}" sourceName="Departemant Name">
  <pivotTables>
    <pivotTable tabId="5" name="PivotTable1"/>
    <pivotTable tabId="5" name="PivotTable5"/>
  </pivotTables>
  <data>
    <tabular pivotCacheId="1845935447">
      <items count="7">
        <i x="2" s="1"/>
        <i x="5" s="1"/>
        <i x="0" s="1"/>
        <i x="1" s="1"/>
        <i x="3" s="1"/>
        <i x="4" s="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1" xr10:uid="{CB13EB85-8AE1-4644-B098-1A6B64118B6D}" sourceName="Performance band">
  <pivotTables>
    <pivotTable tabId="5" name="PivotTable4"/>
    <pivotTable tabId="5" name="PivotTable2"/>
    <pivotTable tabId="5" name="PivotTable6"/>
  </pivotTables>
  <data>
    <tabular pivotCacheId="1037766765">
      <items count="6">
        <i x="1" s="1"/>
        <i x="0" s="1"/>
        <i x="3" s="1"/>
        <i x="2" s="1"/>
        <i x="4"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 status" xr10:uid="{C59634DD-0E11-47A8-8983-A1ED502B365C}" cache="Slicer_Employment_status" caption="Employment status" startItem="1" rowHeight="234950"/>
  <slicer name="Departemant Name" xr10:uid="{2B3BBDD7-4B3F-4FE8-B80E-B351FE4925BD}" cache="Slicer_Departemant_Name" caption="Departemant Name" startItem="4" rowHeight="234950"/>
  <slicer name="Performance band 1" xr10:uid="{76CE9096-13EA-4521-B749-3E916B736B2A}" cache="Slicer_Performance_band1" caption="Performance ban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74AD28-002A-4F4B-B259-5CB629C4FDEE}" name="Table2" displayName="Table2" ref="F1:M155" totalsRowShown="0">
  <autoFilter ref="F1:M155" xr:uid="{1974AD28-002A-4F4B-B259-5CB629C4FDEE}"/>
  <tableColumns count="8">
    <tableColumn id="1" xr3:uid="{8D94A18D-9F1B-4B4B-90E2-692049D866A3}" name="Dept code"/>
    <tableColumn id="2" xr3:uid="{8A03AC6C-D5C8-4A7D-B806-7F3769295259}" name="Employment status"/>
    <tableColumn id="3" xr3:uid="{9B1E023D-B930-4D99-974F-762E7F8ACCA3}" name="Salary" dataDxfId="133" dataCellStyle="Currency"/>
    <tableColumn id="4" xr3:uid="{712E67F5-7DE8-4C63-B710-AB99D162AACD}" name="Full name">
      <calculatedColumnFormula>TRIM(B2&amp;" "&amp;C2)</calculatedColumnFormula>
    </tableColumn>
    <tableColumn id="5" xr3:uid="{651408DF-2FE9-4F7B-B0C1-F46AD23DF3E2}" name="Departemant Name"/>
    <tableColumn id="6" xr3:uid="{977595F7-74E3-4F96-A721-EA7D8BA61736}" name="year of service"/>
    <tableColumn id="7" xr3:uid="{A6EFF1B5-5F57-469A-A551-E29F7C9CBD12}" name="Performance band"/>
    <tableColumn id="8" xr3:uid="{23BE8456-4D02-4478-BFF5-672A2AE7BC0F}" name="Elegible bonus amount" dataDxfId="132" dataCellStyle="Currenc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E77CDD-A801-478D-B52F-BE3570137A30}" name="Table1" displayName="Table1" ref="A1:E155" totalsRowShown="0" headerRowDxfId="131" headerRowBorderDxfId="130" tableBorderDxfId="129">
  <autoFilter ref="A1:E155" xr:uid="{F3E77CDD-A801-478D-B52F-BE3570137A30}">
    <filterColumn colId="0" hiddenButton="1"/>
    <filterColumn colId="1" hiddenButton="1"/>
    <filterColumn colId="2" hiddenButton="1"/>
    <filterColumn colId="3" hiddenButton="1"/>
    <filterColumn colId="4" hiddenButton="1"/>
  </autoFilter>
  <tableColumns count="5">
    <tableColumn id="1" xr3:uid="{4DD84CF6-8CAE-41FA-8262-BC5F74056D37}" name="Emp ID"/>
    <tableColumn id="2" xr3:uid="{98F18791-EA75-4433-ABD2-7D49D025724C}" name="First_Name"/>
    <tableColumn id="3" xr3:uid="{0D02821F-229F-45F4-AB21-B9DC03D2C256}" name="Last_Name"/>
    <tableColumn id="5" xr3:uid="{86480540-798C-4D77-ACD6-0FF3E87DEF69}" name="Hire Date" dataDxfId="128"/>
    <tableColumn id="7" xr3:uid="{40C1D194-37ED-4F99-B76D-062D2DB41AD9}" name="pref score" dataDxfId="127"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F391D-1D83-45EE-90C8-85E81092BF81}">
  <dimension ref="A2:N22"/>
  <sheetViews>
    <sheetView tabSelected="1" zoomScale="98" workbookViewId="0">
      <selection activeCell="M7" sqref="M7"/>
    </sheetView>
  </sheetViews>
  <sheetFormatPr defaultRowHeight="14.4"/>
  <cols>
    <col min="1" max="1" width="21.21875" bestFit="1" customWidth="1"/>
    <col min="2" max="2" width="10.44140625" bestFit="1" customWidth="1"/>
    <col min="3" max="3" width="16.109375" bestFit="1" customWidth="1"/>
    <col min="6" max="6" width="21.21875" bestFit="1" customWidth="1"/>
    <col min="7" max="7" width="15.88671875" bestFit="1" customWidth="1"/>
    <col min="8" max="8" width="4.5546875" bestFit="1" customWidth="1"/>
    <col min="9" max="9" width="8.77734375" bestFit="1" customWidth="1"/>
    <col min="10" max="10" width="7" bestFit="1" customWidth="1"/>
    <col min="11" max="11" width="10.77734375" bestFit="1" customWidth="1"/>
    <col min="12" max="12" width="16.109375" bestFit="1" customWidth="1"/>
    <col min="13" max="13" width="15.21875" bestFit="1" customWidth="1"/>
    <col min="14" max="14" width="19.44140625" bestFit="1" customWidth="1"/>
  </cols>
  <sheetData>
    <row r="2" spans="1:14">
      <c r="A2" t="s">
        <v>224</v>
      </c>
      <c r="F2" s="18" t="s">
        <v>226</v>
      </c>
    </row>
    <row r="3" spans="1:14">
      <c r="A3" s="12" t="s">
        <v>222</v>
      </c>
      <c r="B3" t="s">
        <v>223</v>
      </c>
      <c r="C3" s="15" t="s">
        <v>221</v>
      </c>
      <c r="F3" s="12" t="s">
        <v>227</v>
      </c>
      <c r="G3" t="s">
        <v>228</v>
      </c>
      <c r="L3" s="18"/>
    </row>
    <row r="4" spans="1:14">
      <c r="A4" s="13" t="s">
        <v>197</v>
      </c>
      <c r="B4" s="30">
        <v>17</v>
      </c>
      <c r="C4" s="16">
        <v>87938.411764705888</v>
      </c>
      <c r="F4" s="13" t="s">
        <v>34</v>
      </c>
      <c r="G4" s="17">
        <v>67.91379310344827</v>
      </c>
    </row>
    <row r="5" spans="1:14">
      <c r="A5" s="13" t="s">
        <v>195</v>
      </c>
      <c r="B5" s="30">
        <v>18</v>
      </c>
      <c r="C5" s="16">
        <v>85649.944444444438</v>
      </c>
      <c r="F5" s="13" t="s">
        <v>21</v>
      </c>
      <c r="G5" s="17">
        <v>66.083333333333329</v>
      </c>
      <c r="L5" s="18" t="s">
        <v>226</v>
      </c>
    </row>
    <row r="6" spans="1:14">
      <c r="A6" s="13" t="s">
        <v>196</v>
      </c>
      <c r="B6" s="30">
        <v>36</v>
      </c>
      <c r="C6" s="16">
        <v>80014.222222222219</v>
      </c>
      <c r="F6" s="13" t="s">
        <v>82</v>
      </c>
      <c r="G6" s="30">
        <v>76.400000000000006</v>
      </c>
      <c r="L6" t="s">
        <v>221</v>
      </c>
      <c r="M6" t="s">
        <v>220</v>
      </c>
      <c r="N6" t="s">
        <v>241</v>
      </c>
    </row>
    <row r="7" spans="1:14">
      <c r="A7" s="13" t="s">
        <v>198</v>
      </c>
      <c r="B7" s="30">
        <v>19</v>
      </c>
      <c r="C7" s="16">
        <v>85508.15789473684</v>
      </c>
      <c r="L7" s="31">
        <v>83742.55333333333</v>
      </c>
      <c r="M7" s="32">
        <v>150</v>
      </c>
      <c r="N7" s="17">
        <v>68.186666666666667</v>
      </c>
    </row>
    <row r="8" spans="1:14">
      <c r="A8" s="13" t="s">
        <v>200</v>
      </c>
      <c r="B8" s="30">
        <v>29</v>
      </c>
      <c r="C8" s="16">
        <v>79786.68965517242</v>
      </c>
    </row>
    <row r="9" spans="1:14">
      <c r="A9" s="13" t="s">
        <v>199</v>
      </c>
      <c r="B9" s="30">
        <v>31</v>
      </c>
      <c r="C9" s="16">
        <v>87282.258064516136</v>
      </c>
    </row>
    <row r="10" spans="1:14">
      <c r="A10" s="13" t="s">
        <v>238</v>
      </c>
      <c r="B10" s="30">
        <v>150</v>
      </c>
      <c r="C10" s="16">
        <v>83742.55333333333</v>
      </c>
    </row>
    <row r="13" spans="1:14">
      <c r="A13" s="18" t="s">
        <v>229</v>
      </c>
      <c r="F13" s="18" t="s">
        <v>237</v>
      </c>
    </row>
    <row r="14" spans="1:14">
      <c r="A14" s="12" t="s">
        <v>230</v>
      </c>
      <c r="B14" t="s">
        <v>231</v>
      </c>
      <c r="F14" s="12" t="s">
        <v>220</v>
      </c>
      <c r="G14" s="12" t="s">
        <v>225</v>
      </c>
    </row>
    <row r="15" spans="1:14">
      <c r="A15" s="13" t="s">
        <v>207</v>
      </c>
      <c r="B15" s="14">
        <v>190093.20000000004</v>
      </c>
      <c r="F15" s="12" t="s">
        <v>222</v>
      </c>
      <c r="G15" t="s">
        <v>34</v>
      </c>
      <c r="H15" t="s">
        <v>21</v>
      </c>
      <c r="I15" t="s">
        <v>82</v>
      </c>
      <c r="J15" t="s">
        <v>240</v>
      </c>
    </row>
    <row r="16" spans="1:14">
      <c r="A16" s="13" t="s">
        <v>206</v>
      </c>
      <c r="B16" s="14">
        <v>75052.44</v>
      </c>
      <c r="F16" s="13" t="s">
        <v>197</v>
      </c>
      <c r="G16" s="19">
        <v>0.82352941176470584</v>
      </c>
      <c r="H16" s="19">
        <v>0.17647058823529413</v>
      </c>
      <c r="I16" s="19">
        <v>0</v>
      </c>
      <c r="J16" s="19">
        <v>1</v>
      </c>
    </row>
    <row r="17" spans="1:10">
      <c r="A17" s="13" t="s">
        <v>208</v>
      </c>
      <c r="B17" s="14">
        <v>145136.00000000003</v>
      </c>
      <c r="F17" s="13" t="s">
        <v>195</v>
      </c>
      <c r="G17" s="19">
        <v>0.83333333333333337</v>
      </c>
      <c r="H17" s="19">
        <v>0.1111111111111111</v>
      </c>
      <c r="I17" s="19">
        <v>5.5555555555555552E-2</v>
      </c>
      <c r="J17" s="19">
        <v>1</v>
      </c>
    </row>
    <row r="18" spans="1:10">
      <c r="A18" s="13" t="s">
        <v>205</v>
      </c>
      <c r="B18" s="14">
        <v>0</v>
      </c>
      <c r="F18" s="13" t="s">
        <v>196</v>
      </c>
      <c r="G18" s="19">
        <v>0.77777777777777779</v>
      </c>
      <c r="H18" s="19">
        <v>0.16666666666666666</v>
      </c>
      <c r="I18" s="19">
        <v>5.5555555555555552E-2</v>
      </c>
      <c r="J18" s="19">
        <v>1</v>
      </c>
    </row>
    <row r="19" spans="1:10">
      <c r="A19" s="13" t="s">
        <v>209</v>
      </c>
      <c r="B19" s="14">
        <v>91980.72</v>
      </c>
      <c r="F19" s="13" t="s">
        <v>198</v>
      </c>
      <c r="G19" s="19">
        <v>0.84210526315789469</v>
      </c>
      <c r="H19" s="19">
        <v>0.15789473684210525</v>
      </c>
      <c r="I19" s="19">
        <v>0</v>
      </c>
      <c r="J19" s="19">
        <v>1</v>
      </c>
    </row>
    <row r="20" spans="1:10">
      <c r="A20" s="13" t="s">
        <v>239</v>
      </c>
      <c r="B20" s="14">
        <v>502262.36</v>
      </c>
      <c r="F20" s="13" t="s">
        <v>200</v>
      </c>
      <c r="G20" s="19">
        <v>0.62068965517241381</v>
      </c>
      <c r="H20" s="19">
        <v>0.20689655172413793</v>
      </c>
      <c r="I20" s="19">
        <v>0.17241379310344829</v>
      </c>
      <c r="J20" s="19">
        <v>1</v>
      </c>
    </row>
    <row r="21" spans="1:10">
      <c r="F21" s="13" t="s">
        <v>199</v>
      </c>
      <c r="G21" s="19">
        <v>0.80645161290322576</v>
      </c>
      <c r="H21" s="19">
        <v>0.12903225806451613</v>
      </c>
      <c r="I21" s="19">
        <v>6.4516129032258063E-2</v>
      </c>
      <c r="J21" s="19">
        <v>1</v>
      </c>
    </row>
    <row r="22" spans="1:10">
      <c r="F22" s="13" t="s">
        <v>240</v>
      </c>
      <c r="G22" s="19">
        <v>0.77333333333333332</v>
      </c>
      <c r="H22" s="19">
        <v>0.16</v>
      </c>
      <c r="I22" s="19">
        <v>6.6666666666666666E-2</v>
      </c>
      <c r="J22" s="1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9D706-8A4F-49D7-9035-BA76BDCCFAC4}">
  <dimension ref="A1:K4"/>
  <sheetViews>
    <sheetView workbookViewId="0">
      <selection activeCell="I4" sqref="I4"/>
    </sheetView>
  </sheetViews>
  <sheetFormatPr defaultRowHeight="14.4"/>
  <cols>
    <col min="1" max="2" width="8.88671875" customWidth="1"/>
    <col min="4" max="4" width="18.109375" bestFit="1" customWidth="1"/>
    <col min="6" max="6" width="9" bestFit="1" customWidth="1"/>
    <col min="9" max="9" width="9" bestFit="1" customWidth="1"/>
  </cols>
  <sheetData>
    <row r="1" spans="1:11" ht="28.8">
      <c r="A1" s="20"/>
      <c r="H1" s="29" t="s">
        <v>232</v>
      </c>
    </row>
    <row r="3" spans="1:11" ht="18">
      <c r="A3" s="23" t="s">
        <v>233</v>
      </c>
      <c r="B3" s="21"/>
      <c r="C3" s="21"/>
      <c r="D3" s="24" t="s">
        <v>234</v>
      </c>
      <c r="E3" s="21"/>
      <c r="F3" s="22" t="s">
        <v>235</v>
      </c>
      <c r="G3" s="21"/>
      <c r="H3" s="21"/>
      <c r="I3" s="24" t="s">
        <v>236</v>
      </c>
      <c r="J3" s="21"/>
      <c r="K3" s="21"/>
    </row>
    <row r="4" spans="1:11" ht="28.8">
      <c r="A4" s="25">
        <f>GETPIVOTDATA("Count of Emp ID",Analysis!$L$6)</f>
        <v>150</v>
      </c>
      <c r="B4" s="21"/>
      <c r="C4" s="21"/>
      <c r="D4" s="26">
        <f>GETPIVOTDATA("Average of Salary",Analysis!$L$6)</f>
        <v>83742.55333333333</v>
      </c>
      <c r="E4" s="21"/>
      <c r="F4" s="27">
        <f>GETPIVOTDATA("Emp ID",Analysis!$F$14,"Employment status","Left")</f>
        <v>0.16</v>
      </c>
      <c r="G4" s="21"/>
      <c r="H4" s="21"/>
      <c r="I4" s="28">
        <f>GETPIVOTDATA("Average of pref score",Analysis!$L$6)</f>
        <v>68.186666666666667</v>
      </c>
      <c r="J4" s="21"/>
      <c r="K4"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5"/>
  <sheetViews>
    <sheetView topLeftCell="E1" workbookViewId="0">
      <selection activeCell="G7" sqref="G7"/>
    </sheetView>
  </sheetViews>
  <sheetFormatPr defaultRowHeight="14.4"/>
  <cols>
    <col min="1" max="1" width="18.77734375" customWidth="1"/>
    <col min="2" max="2" width="22.77734375" customWidth="1"/>
    <col min="3" max="3" width="18" customWidth="1"/>
    <col min="4" max="4" width="24.33203125" style="4" customWidth="1"/>
    <col min="5" max="5" width="14.77734375" style="7" customWidth="1"/>
    <col min="6" max="6" width="19.21875" customWidth="1"/>
    <col min="7" max="7" width="19.109375" customWidth="1"/>
    <col min="8" max="8" width="14.77734375" style="3" customWidth="1"/>
    <col min="9" max="9" width="18.109375" customWidth="1"/>
    <col min="10" max="10" width="22.88671875" customWidth="1"/>
    <col min="11" max="11" width="16.21875" customWidth="1"/>
    <col min="12" max="12" width="19" customWidth="1"/>
    <col min="13" max="13" width="22.109375" style="11" customWidth="1"/>
  </cols>
  <sheetData>
    <row r="1" spans="1:13">
      <c r="A1" s="2" t="s">
        <v>0</v>
      </c>
      <c r="B1" s="2" t="s">
        <v>1</v>
      </c>
      <c r="C1" s="2" t="s">
        <v>2</v>
      </c>
      <c r="D1" s="5" t="s">
        <v>3</v>
      </c>
      <c r="E1" s="6" t="s">
        <v>218</v>
      </c>
      <c r="F1" t="s">
        <v>210</v>
      </c>
      <c r="G1" t="s">
        <v>211</v>
      </c>
      <c r="H1" s="3" t="s">
        <v>219</v>
      </c>
      <c r="I1" t="s">
        <v>213</v>
      </c>
      <c r="J1" t="s">
        <v>214</v>
      </c>
      <c r="K1" t="s">
        <v>215</v>
      </c>
      <c r="L1" t="s">
        <v>216</v>
      </c>
      <c r="M1" s="11" t="s">
        <v>217</v>
      </c>
    </row>
    <row r="2" spans="1:13">
      <c r="A2" t="s">
        <v>4</v>
      </c>
      <c r="B2" t="s">
        <v>5</v>
      </c>
      <c r="C2" t="s">
        <v>6</v>
      </c>
      <c r="D2" s="4">
        <v>43093</v>
      </c>
      <c r="E2" s="8">
        <v>52</v>
      </c>
      <c r="F2" t="s">
        <v>7</v>
      </c>
      <c r="G2" t="s">
        <v>34</v>
      </c>
      <c r="H2" s="9">
        <v>50361</v>
      </c>
      <c r="I2" t="str">
        <f>TRIM(B2&amp;" "&amp;C2)</f>
        <v>Emily Brown</v>
      </c>
      <c r="J2" t="str">
        <f>VLOOKUP(F2,Lookup_Departments!$A:$B,2,FALSE)</f>
        <v>Information Technology</v>
      </c>
      <c r="K2">
        <f ca="1">DATEDIF(D2,TODAY(),"y")</f>
        <v>8</v>
      </c>
      <c r="L2" t="str">
        <f>VLOOKUP(E2,Lookup_Performance!$A:$D,3,TRUE)</f>
        <v>Developing</v>
      </c>
      <c r="M2" s="11">
        <f>H2*VLOOKUP(E2,Lookup_Performance!$A:$D,4,TRUE())</f>
        <v>1007.22</v>
      </c>
    </row>
    <row r="3" spans="1:13">
      <c r="A3" t="s">
        <v>8</v>
      </c>
      <c r="B3" t="s">
        <v>9</v>
      </c>
      <c r="C3" t="s">
        <v>10</v>
      </c>
      <c r="D3" s="4">
        <v>44659</v>
      </c>
      <c r="E3" s="8">
        <v>74</v>
      </c>
      <c r="F3" t="s">
        <v>11</v>
      </c>
      <c r="G3" t="s">
        <v>34</v>
      </c>
      <c r="H3" s="10">
        <v>112673</v>
      </c>
      <c r="I3" t="str">
        <f t="shared" ref="I3:I66" si="0">TRIM(B3&amp;" "&amp;C3)</f>
        <v>Richard Hernandez</v>
      </c>
      <c r="J3" t="str">
        <f>VLOOKUP(F3,Lookup_Departments!$A:$B,2,FALSE)</f>
        <v>Marketing</v>
      </c>
      <c r="K3">
        <f t="shared" ref="K3:K66" ca="1" si="1">DATEDIF(D3,TODAY(),"y")</f>
        <v>4</v>
      </c>
      <c r="L3" t="str">
        <f>VLOOKUP(E3,Lookup_Performance!$A:$D,3,TRUE)</f>
        <v>Achieving</v>
      </c>
      <c r="M3" s="11">
        <f>H3*VLOOKUP(E3,Lookup_Performance!$A:$D,4,TRUE())</f>
        <v>5633.6500000000005</v>
      </c>
    </row>
    <row r="4" spans="1:13">
      <c r="A4" t="s">
        <v>12</v>
      </c>
      <c r="B4" t="s">
        <v>5</v>
      </c>
      <c r="C4" t="s">
        <v>13</v>
      </c>
      <c r="D4" s="4">
        <v>42431</v>
      </c>
      <c r="E4" s="8">
        <v>54</v>
      </c>
      <c r="F4" t="s">
        <v>7</v>
      </c>
      <c r="G4" t="s">
        <v>21</v>
      </c>
      <c r="H4" s="10">
        <v>114425</v>
      </c>
      <c r="I4" t="str">
        <f t="shared" si="0"/>
        <v>Emily Gonzalez</v>
      </c>
      <c r="J4" t="str">
        <f>VLOOKUP(F4,Lookup_Departments!$A:$B,2,FALSE)</f>
        <v>Information Technology</v>
      </c>
      <c r="K4">
        <f t="shared" ca="1" si="1"/>
        <v>10</v>
      </c>
      <c r="L4" t="str">
        <f>VLOOKUP(E4,Lookup_Performance!$A:$D,3,TRUE)</f>
        <v>Developing</v>
      </c>
      <c r="M4" s="11">
        <f>H4*VLOOKUP(E4,Lookup_Performance!$A:$D,4,TRUE())</f>
        <v>2288.5</v>
      </c>
    </row>
    <row r="5" spans="1:13">
      <c r="A5" t="s">
        <v>14</v>
      </c>
      <c r="B5" t="s">
        <v>15</v>
      </c>
      <c r="C5" t="s">
        <v>16</v>
      </c>
      <c r="D5" s="4">
        <v>45110</v>
      </c>
      <c r="E5" s="8">
        <v>70</v>
      </c>
      <c r="F5" t="s">
        <v>17</v>
      </c>
      <c r="G5" t="s">
        <v>34</v>
      </c>
      <c r="H5" s="10">
        <v>103831</v>
      </c>
      <c r="I5" t="str">
        <f t="shared" si="0"/>
        <v>John Martinez</v>
      </c>
      <c r="J5" t="str">
        <f>VLOOKUP(F5,Lookup_Departments!$A:$B,2,FALSE)</f>
        <v>Finance</v>
      </c>
      <c r="K5">
        <f t="shared" ca="1" si="1"/>
        <v>3</v>
      </c>
      <c r="L5" t="str">
        <f>VLOOKUP(E5,Lookup_Performance!$A:$D,3,TRUE)</f>
        <v>Achieving</v>
      </c>
      <c r="M5" s="11">
        <f>H5*VLOOKUP(E5,Lookup_Performance!$A:$D,4,TRUE())</f>
        <v>5191.55</v>
      </c>
    </row>
    <row r="6" spans="1:13">
      <c r="A6" t="s">
        <v>18</v>
      </c>
      <c r="B6" t="s">
        <v>19</v>
      </c>
      <c r="C6" t="s">
        <v>20</v>
      </c>
      <c r="D6" s="4">
        <v>44977</v>
      </c>
      <c r="E6" s="8">
        <v>40</v>
      </c>
      <c r="F6" t="s">
        <v>7</v>
      </c>
      <c r="G6" t="s">
        <v>21</v>
      </c>
      <c r="H6" s="10">
        <v>73785</v>
      </c>
      <c r="I6" t="str">
        <f t="shared" si="0"/>
        <v>Thomas Smith</v>
      </c>
      <c r="J6" t="str">
        <f>VLOOKUP(F6,Lookup_Departments!$A:$B,2,FALSE)</f>
        <v>Information Technology</v>
      </c>
      <c r="K6">
        <f t="shared" ca="1" si="1"/>
        <v>3</v>
      </c>
      <c r="L6" t="str">
        <f>VLOOKUP(E6,Lookup_Performance!$A:$D,3,TRUE)</f>
        <v>Needs Improvement</v>
      </c>
      <c r="M6" s="11">
        <f>H6*VLOOKUP(E6,Lookup_Performance!$A:$D,4,TRUE())</f>
        <v>0</v>
      </c>
    </row>
    <row r="7" spans="1:13">
      <c r="A7" t="s">
        <v>22</v>
      </c>
      <c r="B7" t="s">
        <v>5</v>
      </c>
      <c r="C7" t="s">
        <v>23</v>
      </c>
      <c r="D7" s="4">
        <v>43892</v>
      </c>
      <c r="E7" s="8">
        <v>49</v>
      </c>
      <c r="F7" t="s">
        <v>24</v>
      </c>
      <c r="G7" t="s">
        <v>34</v>
      </c>
      <c r="H7" s="10">
        <v>115882</v>
      </c>
      <c r="I7" t="str">
        <f t="shared" si="0"/>
        <v>Emily Johnson</v>
      </c>
      <c r="J7" t="str">
        <f>VLOOKUP(F7,Lookup_Departments!$A:$B,2,FALSE)</f>
        <v>Operations</v>
      </c>
      <c r="K7">
        <f t="shared" ca="1" si="1"/>
        <v>6</v>
      </c>
      <c r="L7" t="str">
        <f>VLOOKUP(E7,Lookup_Performance!$A:$D,3,TRUE)</f>
        <v>Needs Improvement</v>
      </c>
      <c r="M7" s="11">
        <f>H7*VLOOKUP(E7,Lookup_Performance!$A:$D,4,TRUE())</f>
        <v>0</v>
      </c>
    </row>
    <row r="8" spans="1:13">
      <c r="A8" t="s">
        <v>25</v>
      </c>
      <c r="B8" t="s">
        <v>15</v>
      </c>
      <c r="C8" t="s">
        <v>26</v>
      </c>
      <c r="D8" s="4">
        <v>45272</v>
      </c>
      <c r="E8" s="8">
        <v>70</v>
      </c>
      <c r="F8" t="s">
        <v>24</v>
      </c>
      <c r="G8" t="s">
        <v>21</v>
      </c>
      <c r="H8" s="10">
        <v>59980</v>
      </c>
      <c r="I8" t="str">
        <f t="shared" si="0"/>
        <v>John Wilson</v>
      </c>
      <c r="J8" t="str">
        <f>VLOOKUP(F8,Lookup_Departments!$A:$B,2,FALSE)</f>
        <v>Operations</v>
      </c>
      <c r="K8">
        <f t="shared" ca="1" si="1"/>
        <v>2</v>
      </c>
      <c r="L8" t="str">
        <f>VLOOKUP(E8,Lookup_Performance!$A:$D,3,TRUE)</f>
        <v>Achieving</v>
      </c>
      <c r="M8" s="11">
        <f>H8*VLOOKUP(E8,Lookup_Performance!$A:$D,4,TRUE())</f>
        <v>2999</v>
      </c>
    </row>
    <row r="9" spans="1:13">
      <c r="A9" t="s">
        <v>27</v>
      </c>
      <c r="B9" t="s">
        <v>28</v>
      </c>
      <c r="C9" t="s">
        <v>20</v>
      </c>
      <c r="D9" s="4">
        <v>44174</v>
      </c>
      <c r="E9" s="8">
        <v>45</v>
      </c>
      <c r="F9" t="s">
        <v>24</v>
      </c>
      <c r="G9" t="s">
        <v>34</v>
      </c>
      <c r="H9" s="10">
        <v>68728</v>
      </c>
      <c r="I9" t="str">
        <f t="shared" si="0"/>
        <v>Jessica Smith</v>
      </c>
      <c r="J9" t="str">
        <f>VLOOKUP(F9,Lookup_Departments!$A:$B,2,FALSE)</f>
        <v>Operations</v>
      </c>
      <c r="K9">
        <f t="shared" ca="1" si="1"/>
        <v>5</v>
      </c>
      <c r="L9" t="str">
        <f>VLOOKUP(E9,Lookup_Performance!$A:$D,3,TRUE)</f>
        <v>Needs Improvement</v>
      </c>
      <c r="M9" s="11">
        <f>H9*VLOOKUP(E9,Lookup_Performance!$A:$D,4,TRUE())</f>
        <v>0</v>
      </c>
    </row>
    <row r="10" spans="1:13">
      <c r="A10" t="s">
        <v>29</v>
      </c>
      <c r="B10" t="s">
        <v>212</v>
      </c>
      <c r="C10" t="s">
        <v>30</v>
      </c>
      <c r="D10" s="4">
        <v>43107</v>
      </c>
      <c r="E10" s="8">
        <v>79</v>
      </c>
      <c r="F10" t="s">
        <v>17</v>
      </c>
      <c r="G10" t="s">
        <v>34</v>
      </c>
      <c r="H10" s="10">
        <v>102139</v>
      </c>
      <c r="I10" t="str">
        <f t="shared" si="0"/>
        <v>unknown Rodriguez</v>
      </c>
      <c r="J10" t="str">
        <f>VLOOKUP(F10,Lookup_Departments!$A:$B,2,FALSE)</f>
        <v>Finance</v>
      </c>
      <c r="K10">
        <f t="shared" ca="1" si="1"/>
        <v>8</v>
      </c>
      <c r="L10" t="str">
        <f>VLOOKUP(E10,Lookup_Performance!$A:$D,3,TRUE)</f>
        <v>Achieving</v>
      </c>
      <c r="M10" s="11">
        <f>H10*VLOOKUP(E10,Lookup_Performance!$A:$D,4,TRUE())</f>
        <v>5106.9500000000007</v>
      </c>
    </row>
    <row r="11" spans="1:13">
      <c r="A11" t="s">
        <v>31</v>
      </c>
      <c r="B11" t="s">
        <v>32</v>
      </c>
      <c r="C11" t="s">
        <v>16</v>
      </c>
      <c r="D11" s="4">
        <v>42676</v>
      </c>
      <c r="E11" s="8">
        <v>58</v>
      </c>
      <c r="F11" t="s">
        <v>33</v>
      </c>
      <c r="G11" t="s">
        <v>34</v>
      </c>
      <c r="H11" s="10">
        <v>94998</v>
      </c>
      <c r="I11" t="str">
        <f t="shared" si="0"/>
        <v>Michael Martinez</v>
      </c>
      <c r="J11" t="str">
        <f>VLOOKUP(F11,Lookup_Departments!$A:$B,2,FALSE)</f>
        <v>Sales</v>
      </c>
      <c r="K11">
        <f t="shared" ca="1" si="1"/>
        <v>9</v>
      </c>
      <c r="L11" t="str">
        <f>VLOOKUP(E11,Lookup_Performance!$A:$D,3,TRUE)</f>
        <v>Developing</v>
      </c>
      <c r="M11" s="11">
        <f>H11*VLOOKUP(E11,Lookup_Performance!$A:$D,4,TRUE())</f>
        <v>1899.96</v>
      </c>
    </row>
    <row r="12" spans="1:13">
      <c r="A12" t="s">
        <v>35</v>
      </c>
      <c r="B12" t="s">
        <v>5</v>
      </c>
      <c r="C12" t="s">
        <v>36</v>
      </c>
      <c r="D12" s="4">
        <v>43911</v>
      </c>
      <c r="E12" s="8">
        <v>49</v>
      </c>
      <c r="F12" t="s">
        <v>33</v>
      </c>
      <c r="G12" t="s">
        <v>34</v>
      </c>
      <c r="H12" s="10">
        <v>118635</v>
      </c>
      <c r="I12" t="str">
        <f t="shared" si="0"/>
        <v>Emily Miller</v>
      </c>
      <c r="J12" t="str">
        <f>VLOOKUP(F12,Lookup_Departments!$A:$B,2,FALSE)</f>
        <v>Sales</v>
      </c>
      <c r="K12">
        <f t="shared" ca="1" si="1"/>
        <v>6</v>
      </c>
      <c r="L12" t="str">
        <f>VLOOKUP(E12,Lookup_Performance!$A:$D,3,TRUE)</f>
        <v>Needs Improvement</v>
      </c>
      <c r="M12" s="11">
        <f>H12*VLOOKUP(E12,Lookup_Performance!$A:$D,4,TRUE())</f>
        <v>0</v>
      </c>
    </row>
    <row r="13" spans="1:13">
      <c r="A13" t="s">
        <v>37</v>
      </c>
      <c r="B13" t="s">
        <v>5</v>
      </c>
      <c r="C13" t="s">
        <v>10</v>
      </c>
      <c r="D13" s="4">
        <v>42425</v>
      </c>
      <c r="E13" s="8">
        <v>62</v>
      </c>
      <c r="F13" t="s">
        <v>7</v>
      </c>
      <c r="G13" t="s">
        <v>34</v>
      </c>
      <c r="H13" s="10">
        <v>76918</v>
      </c>
      <c r="I13" t="str">
        <f t="shared" si="0"/>
        <v>Emily Hernandez</v>
      </c>
      <c r="J13" t="str">
        <f>VLOOKUP(F13,Lookup_Departments!$A:$B,2,FALSE)</f>
        <v>Information Technology</v>
      </c>
      <c r="K13">
        <f t="shared" ca="1" si="1"/>
        <v>10</v>
      </c>
      <c r="L13" t="str">
        <f>VLOOKUP(E13,Lookup_Performance!$A:$D,3,TRUE)</f>
        <v>Developing</v>
      </c>
      <c r="M13" s="11">
        <f>H13*VLOOKUP(E13,Lookup_Performance!$A:$D,4,TRUE())</f>
        <v>1538.3600000000001</v>
      </c>
    </row>
    <row r="14" spans="1:13">
      <c r="A14" t="s">
        <v>38</v>
      </c>
      <c r="B14" t="s">
        <v>39</v>
      </c>
      <c r="C14" t="s">
        <v>40</v>
      </c>
      <c r="D14" s="4">
        <v>44364</v>
      </c>
      <c r="E14" s="8">
        <v>48</v>
      </c>
      <c r="F14" t="s">
        <v>11</v>
      </c>
      <c r="G14" t="s">
        <v>34</v>
      </c>
      <c r="H14" s="10">
        <v>61408</v>
      </c>
      <c r="I14" t="str">
        <f t="shared" si="0"/>
        <v>Jane Williams</v>
      </c>
      <c r="J14" t="str">
        <f>VLOOKUP(F14,Lookup_Departments!$A:$B,2,FALSE)</f>
        <v>Marketing</v>
      </c>
      <c r="K14">
        <f t="shared" ca="1" si="1"/>
        <v>5</v>
      </c>
      <c r="L14" t="str">
        <f>VLOOKUP(E14,Lookup_Performance!$A:$D,3,TRUE)</f>
        <v>Needs Improvement</v>
      </c>
      <c r="M14" s="11">
        <f>H14*VLOOKUP(E14,Lookup_Performance!$A:$D,4,TRUE())</f>
        <v>0</v>
      </c>
    </row>
    <row r="15" spans="1:13">
      <c r="A15" t="s">
        <v>41</v>
      </c>
      <c r="B15" t="s">
        <v>39</v>
      </c>
      <c r="C15" t="s">
        <v>36</v>
      </c>
      <c r="D15" s="4">
        <v>44001</v>
      </c>
      <c r="E15" s="8">
        <v>54</v>
      </c>
      <c r="F15" t="s">
        <v>11</v>
      </c>
      <c r="G15" t="s">
        <v>34</v>
      </c>
      <c r="H15" s="10">
        <v>99990</v>
      </c>
      <c r="I15" t="str">
        <f t="shared" si="0"/>
        <v>Jane Miller</v>
      </c>
      <c r="J15" t="str">
        <f>VLOOKUP(F15,Lookup_Departments!$A:$B,2,FALSE)</f>
        <v>Marketing</v>
      </c>
      <c r="K15">
        <f t="shared" ca="1" si="1"/>
        <v>6</v>
      </c>
      <c r="L15" t="str">
        <f>VLOOKUP(E15,Lookup_Performance!$A:$D,3,TRUE)</f>
        <v>Developing</v>
      </c>
      <c r="M15" s="11">
        <f>H15*VLOOKUP(E15,Lookup_Performance!$A:$D,4,TRUE())</f>
        <v>1999.8</v>
      </c>
    </row>
    <row r="16" spans="1:13">
      <c r="A16" t="s">
        <v>42</v>
      </c>
      <c r="B16" t="s">
        <v>43</v>
      </c>
      <c r="C16" t="s">
        <v>44</v>
      </c>
      <c r="D16" s="4">
        <v>43820</v>
      </c>
      <c r="E16" s="8">
        <v>74</v>
      </c>
      <c r="F16" t="s">
        <v>11</v>
      </c>
      <c r="G16" t="s">
        <v>34</v>
      </c>
      <c r="H16" s="10">
        <v>80385</v>
      </c>
      <c r="I16" t="str">
        <f t="shared" si="0"/>
        <v>Robert Jones</v>
      </c>
      <c r="J16" t="str">
        <f>VLOOKUP(F16,Lookup_Departments!$A:$B,2,FALSE)</f>
        <v>Marketing</v>
      </c>
      <c r="K16">
        <f t="shared" ca="1" si="1"/>
        <v>6</v>
      </c>
      <c r="L16" t="str">
        <f>VLOOKUP(E16,Lookup_Performance!$A:$D,3,TRUE)</f>
        <v>Achieving</v>
      </c>
      <c r="M16" s="11">
        <f>H16*VLOOKUP(E16,Lookup_Performance!$A:$D,4,TRUE())</f>
        <v>4019.25</v>
      </c>
    </row>
    <row r="17" spans="1:13">
      <c r="A17" t="s">
        <v>45</v>
      </c>
      <c r="B17" t="s">
        <v>19</v>
      </c>
      <c r="C17" t="s">
        <v>30</v>
      </c>
      <c r="D17" s="4">
        <v>45169</v>
      </c>
      <c r="E17" s="8">
        <v>77</v>
      </c>
      <c r="F17" t="s">
        <v>33</v>
      </c>
      <c r="G17" t="s">
        <v>34</v>
      </c>
      <c r="H17" s="10">
        <v>65290</v>
      </c>
      <c r="I17" t="str">
        <f t="shared" si="0"/>
        <v>Thomas Rodriguez</v>
      </c>
      <c r="J17" t="str">
        <f>VLOOKUP(F17,Lookup_Departments!$A:$B,2,FALSE)</f>
        <v>Sales</v>
      </c>
      <c r="K17">
        <f t="shared" ca="1" si="1"/>
        <v>2</v>
      </c>
      <c r="L17" t="str">
        <f>VLOOKUP(E17,Lookup_Performance!$A:$D,3,TRUE)</f>
        <v>Achieving</v>
      </c>
      <c r="M17" s="11">
        <f>H17*VLOOKUP(E17,Lookup_Performance!$A:$D,4,TRUE())</f>
        <v>3264.5</v>
      </c>
    </row>
    <row r="18" spans="1:13">
      <c r="A18" t="s">
        <v>46</v>
      </c>
      <c r="B18" t="s">
        <v>5</v>
      </c>
      <c r="C18" t="s">
        <v>47</v>
      </c>
      <c r="D18" s="4">
        <v>42337</v>
      </c>
      <c r="E18" s="8">
        <v>42</v>
      </c>
      <c r="F18" t="s">
        <v>7</v>
      </c>
      <c r="G18" t="s">
        <v>34</v>
      </c>
      <c r="H18" s="10">
        <v>105765</v>
      </c>
      <c r="I18" t="str">
        <f t="shared" si="0"/>
        <v>Emily Davis</v>
      </c>
      <c r="J18" t="str">
        <f>VLOOKUP(F18,Lookup_Departments!$A:$B,2,FALSE)</f>
        <v>Information Technology</v>
      </c>
      <c r="K18">
        <f t="shared" ca="1" si="1"/>
        <v>10</v>
      </c>
      <c r="L18" t="str">
        <f>VLOOKUP(E18,Lookup_Performance!$A:$D,3,TRUE)</f>
        <v>Needs Improvement</v>
      </c>
      <c r="M18" s="11">
        <f>H18*VLOOKUP(E18,Lookup_Performance!$A:$D,4,TRUE())</f>
        <v>0</v>
      </c>
    </row>
    <row r="19" spans="1:13">
      <c r="A19" t="s">
        <v>48</v>
      </c>
      <c r="B19" t="s">
        <v>49</v>
      </c>
      <c r="C19" t="s">
        <v>16</v>
      </c>
      <c r="D19" s="4">
        <v>42899</v>
      </c>
      <c r="E19" s="8">
        <v>49</v>
      </c>
      <c r="F19" t="s">
        <v>33</v>
      </c>
      <c r="G19" t="s">
        <v>34</v>
      </c>
      <c r="H19" s="10">
        <v>102921</v>
      </c>
      <c r="I19" t="str">
        <f t="shared" si="0"/>
        <v>James Martinez</v>
      </c>
      <c r="J19" t="str">
        <f>VLOOKUP(F19,Lookup_Departments!$A:$B,2,FALSE)</f>
        <v>Sales</v>
      </c>
      <c r="K19">
        <f t="shared" ca="1" si="1"/>
        <v>9</v>
      </c>
      <c r="L19" t="str">
        <f>VLOOKUP(E19,Lookup_Performance!$A:$D,3,TRUE)</f>
        <v>Needs Improvement</v>
      </c>
      <c r="M19" s="11">
        <f>H19*VLOOKUP(E19,Lookup_Performance!$A:$D,4,TRUE())</f>
        <v>0</v>
      </c>
    </row>
    <row r="20" spans="1:13">
      <c r="A20" t="s">
        <v>50</v>
      </c>
      <c r="B20" t="s">
        <v>51</v>
      </c>
      <c r="C20" t="s">
        <v>52</v>
      </c>
      <c r="D20" s="4">
        <v>43235</v>
      </c>
      <c r="E20" s="8">
        <v>93</v>
      </c>
      <c r="F20" t="s">
        <v>11</v>
      </c>
      <c r="G20" t="s">
        <v>34</v>
      </c>
      <c r="H20" s="10">
        <v>73984</v>
      </c>
      <c r="I20" t="str">
        <f t="shared" si="0"/>
        <v>Ashley Lopez</v>
      </c>
      <c r="J20" t="str">
        <f>VLOOKUP(F20,Lookup_Departments!$A:$B,2,FALSE)</f>
        <v>Marketing</v>
      </c>
      <c r="K20">
        <f t="shared" ca="1" si="1"/>
        <v>8</v>
      </c>
      <c r="L20" t="str">
        <f>VLOOKUP(E20,Lookup_Performance!$A:$D,3,TRUE)</f>
        <v>Exceeding</v>
      </c>
      <c r="M20" s="11">
        <f>H20*VLOOKUP(E20,Lookup_Performance!$A:$D,4,TRUE())</f>
        <v>5918.72</v>
      </c>
    </row>
    <row r="21" spans="1:13">
      <c r="A21" t="s">
        <v>53</v>
      </c>
      <c r="B21" t="s">
        <v>54</v>
      </c>
      <c r="C21" t="s">
        <v>13</v>
      </c>
      <c r="D21" s="4">
        <v>42575</v>
      </c>
      <c r="E21" s="8">
        <v>75</v>
      </c>
      <c r="F21" t="s">
        <v>7</v>
      </c>
      <c r="G21" t="s">
        <v>34</v>
      </c>
      <c r="H21" s="10">
        <v>80014</v>
      </c>
      <c r="I21" t="str">
        <f t="shared" si="0"/>
        <v>Amanda Gonzalez</v>
      </c>
      <c r="J21" t="str">
        <f>VLOOKUP(F21,Lookup_Departments!$A:$B,2,FALSE)</f>
        <v>Information Technology</v>
      </c>
      <c r="K21">
        <f t="shared" ca="1" si="1"/>
        <v>9</v>
      </c>
      <c r="L21" t="str">
        <f>VLOOKUP(E21,Lookup_Performance!$A:$D,3,TRUE)</f>
        <v>Achieving</v>
      </c>
      <c r="M21" s="11">
        <f>H21*VLOOKUP(E21,Lookup_Performance!$A:$D,4,TRUE())</f>
        <v>4000.7000000000003</v>
      </c>
    </row>
    <row r="22" spans="1:13">
      <c r="A22" t="s">
        <v>55</v>
      </c>
      <c r="B22" t="s">
        <v>32</v>
      </c>
      <c r="C22" t="s">
        <v>10</v>
      </c>
      <c r="D22" s="4">
        <v>43076</v>
      </c>
      <c r="E22" s="8">
        <v>50</v>
      </c>
      <c r="F22" t="s">
        <v>17</v>
      </c>
      <c r="G22" t="s">
        <v>34</v>
      </c>
      <c r="H22" s="10">
        <v>118527</v>
      </c>
      <c r="I22" t="str">
        <f t="shared" si="0"/>
        <v>Michael Hernandez</v>
      </c>
      <c r="J22" t="str">
        <f>VLOOKUP(F22,Lookup_Departments!$A:$B,2,FALSE)</f>
        <v>Finance</v>
      </c>
      <c r="K22">
        <f t="shared" ca="1" si="1"/>
        <v>8</v>
      </c>
      <c r="L22" t="str">
        <f>VLOOKUP(E22,Lookup_Performance!$A:$D,3,TRUE)</f>
        <v>Developing</v>
      </c>
      <c r="M22" s="11">
        <f>H22*VLOOKUP(E22,Lookup_Performance!$A:$D,4,TRUE())</f>
        <v>2370.54</v>
      </c>
    </row>
    <row r="23" spans="1:13">
      <c r="A23" t="s">
        <v>56</v>
      </c>
      <c r="B23" t="s">
        <v>9</v>
      </c>
      <c r="C23" t="s">
        <v>10</v>
      </c>
      <c r="D23" s="4">
        <v>44353</v>
      </c>
      <c r="E23" s="8">
        <v>88</v>
      </c>
      <c r="F23" t="s">
        <v>11</v>
      </c>
      <c r="G23" t="s">
        <v>34</v>
      </c>
      <c r="H23" s="10">
        <v>107871</v>
      </c>
      <c r="I23" t="str">
        <f t="shared" si="0"/>
        <v>Richard Hernandez</v>
      </c>
      <c r="J23" t="str">
        <f>VLOOKUP(F23,Lookup_Departments!$A:$B,2,FALSE)</f>
        <v>Marketing</v>
      </c>
      <c r="K23">
        <f t="shared" ca="1" si="1"/>
        <v>5</v>
      </c>
      <c r="L23" t="str">
        <f>VLOOKUP(E23,Lookup_Performance!$A:$D,3,TRUE)</f>
        <v>Exceeding</v>
      </c>
      <c r="M23" s="11">
        <f>H23*VLOOKUP(E23,Lookup_Performance!$A:$D,4,TRUE())</f>
        <v>8629.68</v>
      </c>
    </row>
    <row r="24" spans="1:13">
      <c r="A24" t="s">
        <v>57</v>
      </c>
      <c r="B24" t="s">
        <v>32</v>
      </c>
      <c r="C24" t="s">
        <v>30</v>
      </c>
      <c r="D24" s="4">
        <v>44815</v>
      </c>
      <c r="E24" s="8">
        <v>50</v>
      </c>
      <c r="F24" t="s">
        <v>7</v>
      </c>
      <c r="G24" t="s">
        <v>21</v>
      </c>
      <c r="H24" s="10">
        <v>93956</v>
      </c>
      <c r="I24" t="str">
        <f t="shared" si="0"/>
        <v>Michael Rodriguez</v>
      </c>
      <c r="J24" t="str">
        <f>VLOOKUP(F24,Lookup_Departments!$A:$B,2,FALSE)</f>
        <v>Information Technology</v>
      </c>
      <c r="K24">
        <f t="shared" ca="1" si="1"/>
        <v>3</v>
      </c>
      <c r="L24" t="str">
        <f>VLOOKUP(E24,Lookup_Performance!$A:$D,3,TRUE)</f>
        <v>Developing</v>
      </c>
      <c r="M24" s="11">
        <f>H24*VLOOKUP(E24,Lookup_Performance!$A:$D,4,TRUE())</f>
        <v>1879.1200000000001</v>
      </c>
    </row>
    <row r="25" spans="1:13">
      <c r="A25" t="s">
        <v>58</v>
      </c>
      <c r="B25" t="s">
        <v>28</v>
      </c>
      <c r="C25" t="s">
        <v>23</v>
      </c>
      <c r="D25" s="4">
        <v>42565</v>
      </c>
      <c r="E25" s="8">
        <v>64</v>
      </c>
      <c r="F25" t="s">
        <v>17</v>
      </c>
      <c r="G25" t="s">
        <v>34</v>
      </c>
      <c r="H25" s="10">
        <v>100851</v>
      </c>
      <c r="I25" t="str">
        <f t="shared" si="0"/>
        <v>Jessica Johnson</v>
      </c>
      <c r="J25" t="str">
        <f>VLOOKUP(F25,Lookup_Departments!$A:$B,2,FALSE)</f>
        <v>Finance</v>
      </c>
      <c r="K25">
        <f t="shared" ca="1" si="1"/>
        <v>9</v>
      </c>
      <c r="L25" t="str">
        <f>VLOOKUP(E25,Lookup_Performance!$A:$D,3,TRUE)</f>
        <v>Developing</v>
      </c>
      <c r="M25" s="11">
        <f>H25*VLOOKUP(E25,Lookup_Performance!$A:$D,4,TRUE())</f>
        <v>2017.02</v>
      </c>
    </row>
    <row r="26" spans="1:13">
      <c r="A26" t="s">
        <v>59</v>
      </c>
      <c r="B26" t="s">
        <v>51</v>
      </c>
      <c r="C26" t="s">
        <v>40</v>
      </c>
      <c r="D26" s="4">
        <v>44728</v>
      </c>
      <c r="E26" s="8">
        <v>32</v>
      </c>
      <c r="F26" t="s">
        <v>33</v>
      </c>
      <c r="G26" t="s">
        <v>34</v>
      </c>
      <c r="H26" s="10">
        <v>68655</v>
      </c>
      <c r="I26" t="str">
        <f t="shared" si="0"/>
        <v>Ashley Williams</v>
      </c>
      <c r="J26" t="str">
        <f>VLOOKUP(F26,Lookup_Departments!$A:$B,2,FALSE)</f>
        <v>Sales</v>
      </c>
      <c r="K26">
        <f t="shared" ca="1" si="1"/>
        <v>4</v>
      </c>
      <c r="L26" t="str">
        <f>VLOOKUP(E26,Lookup_Performance!$A:$D,3,TRUE)</f>
        <v>Needs Improvement</v>
      </c>
      <c r="M26" s="11">
        <f>H26*VLOOKUP(E26,Lookup_Performance!$A:$D,4,TRUE())</f>
        <v>0</v>
      </c>
    </row>
    <row r="27" spans="1:13">
      <c r="A27" t="s">
        <v>60</v>
      </c>
      <c r="B27" t="s">
        <v>212</v>
      </c>
      <c r="C27" t="s">
        <v>40</v>
      </c>
      <c r="D27" s="4">
        <v>45134</v>
      </c>
      <c r="E27" s="8">
        <v>59</v>
      </c>
      <c r="F27" t="s">
        <v>33</v>
      </c>
      <c r="G27" t="s">
        <v>34</v>
      </c>
      <c r="H27" s="10">
        <v>81205</v>
      </c>
      <c r="I27" t="str">
        <f t="shared" si="0"/>
        <v>unknown Williams</v>
      </c>
      <c r="J27" t="str">
        <f>VLOOKUP(F27,Lookup_Departments!$A:$B,2,FALSE)</f>
        <v>Sales</v>
      </c>
      <c r="K27">
        <f t="shared" ca="1" si="1"/>
        <v>2</v>
      </c>
      <c r="L27" t="str">
        <f>VLOOKUP(E27,Lookup_Performance!$A:$D,3,TRUE)</f>
        <v>Developing</v>
      </c>
      <c r="M27" s="11">
        <f>H27*VLOOKUP(E27,Lookup_Performance!$A:$D,4,TRUE())</f>
        <v>1624.1000000000001</v>
      </c>
    </row>
    <row r="28" spans="1:13">
      <c r="A28" t="s">
        <v>61</v>
      </c>
      <c r="B28" t="s">
        <v>15</v>
      </c>
      <c r="C28" t="s">
        <v>26</v>
      </c>
      <c r="D28" s="4">
        <v>43732</v>
      </c>
      <c r="E28" s="8">
        <v>88</v>
      </c>
      <c r="F28" t="s">
        <v>33</v>
      </c>
      <c r="G28" t="s">
        <v>34</v>
      </c>
      <c r="H28" s="10">
        <v>77610</v>
      </c>
      <c r="I28" t="str">
        <f t="shared" si="0"/>
        <v>John Wilson</v>
      </c>
      <c r="J28" t="str">
        <f>VLOOKUP(F28,Lookup_Departments!$A:$B,2,FALSE)</f>
        <v>Sales</v>
      </c>
      <c r="K28">
        <f t="shared" ca="1" si="1"/>
        <v>6</v>
      </c>
      <c r="L28" t="str">
        <f>VLOOKUP(E28,Lookup_Performance!$A:$D,3,TRUE)</f>
        <v>Exceeding</v>
      </c>
      <c r="M28" s="11">
        <f>H28*VLOOKUP(E28,Lookup_Performance!$A:$D,4,TRUE())</f>
        <v>6208.8</v>
      </c>
    </row>
    <row r="29" spans="1:13">
      <c r="A29" t="s">
        <v>62</v>
      </c>
      <c r="B29" t="s">
        <v>19</v>
      </c>
      <c r="C29" t="s">
        <v>30</v>
      </c>
      <c r="D29" s="4">
        <v>44765</v>
      </c>
      <c r="E29" s="8">
        <v>90</v>
      </c>
      <c r="F29" t="s">
        <v>7</v>
      </c>
      <c r="G29" t="s">
        <v>34</v>
      </c>
      <c r="H29" s="10">
        <v>50873</v>
      </c>
      <c r="I29" t="str">
        <f t="shared" si="0"/>
        <v>Thomas Rodriguez</v>
      </c>
      <c r="J29" t="str">
        <f>VLOOKUP(F29,Lookup_Departments!$A:$B,2,FALSE)</f>
        <v>Information Technology</v>
      </c>
      <c r="K29">
        <f t="shared" ca="1" si="1"/>
        <v>3</v>
      </c>
      <c r="L29" t="str">
        <f>VLOOKUP(E29,Lookup_Performance!$A:$D,3,TRUE)</f>
        <v>Exceeding</v>
      </c>
      <c r="M29" s="11">
        <f>H29*VLOOKUP(E29,Lookup_Performance!$A:$D,4,TRUE())</f>
        <v>4069.84</v>
      </c>
    </row>
    <row r="30" spans="1:13">
      <c r="A30" t="s">
        <v>63</v>
      </c>
      <c r="B30" t="s">
        <v>32</v>
      </c>
      <c r="C30" t="s">
        <v>26</v>
      </c>
      <c r="D30" s="4">
        <v>43233</v>
      </c>
      <c r="E30" s="8">
        <v>66</v>
      </c>
      <c r="F30" t="s">
        <v>17</v>
      </c>
      <c r="G30" t="s">
        <v>34</v>
      </c>
      <c r="H30" s="10">
        <v>85312</v>
      </c>
      <c r="I30" t="str">
        <f t="shared" si="0"/>
        <v>Michael Wilson</v>
      </c>
      <c r="J30" t="str">
        <f>VLOOKUP(F30,Lookup_Departments!$A:$B,2,FALSE)</f>
        <v>Finance</v>
      </c>
      <c r="K30">
        <f t="shared" ca="1" si="1"/>
        <v>8</v>
      </c>
      <c r="L30" t="str">
        <f>VLOOKUP(E30,Lookup_Performance!$A:$D,3,TRUE)</f>
        <v>Developing</v>
      </c>
      <c r="M30" s="11">
        <f>H30*VLOOKUP(E30,Lookup_Performance!$A:$D,4,TRUE())</f>
        <v>1706.24</v>
      </c>
    </row>
    <row r="31" spans="1:13">
      <c r="A31" t="s">
        <v>64</v>
      </c>
      <c r="B31" t="s">
        <v>15</v>
      </c>
      <c r="C31" t="s">
        <v>30</v>
      </c>
      <c r="D31" s="4">
        <v>42202</v>
      </c>
      <c r="E31" s="8">
        <v>68</v>
      </c>
      <c r="F31" t="s">
        <v>33</v>
      </c>
      <c r="G31" t="s">
        <v>34</v>
      </c>
      <c r="H31" s="10">
        <v>87282</v>
      </c>
      <c r="I31" t="str">
        <f t="shared" si="0"/>
        <v>John Rodriguez</v>
      </c>
      <c r="J31" t="str">
        <f>VLOOKUP(F31,Lookup_Departments!$A:$B,2,FALSE)</f>
        <v>Sales</v>
      </c>
      <c r="K31">
        <f t="shared" ca="1" si="1"/>
        <v>10</v>
      </c>
      <c r="L31" t="str">
        <f>VLOOKUP(E31,Lookup_Performance!$A:$D,3,TRUE)</f>
        <v>Developing</v>
      </c>
      <c r="M31" s="11">
        <f>H31*VLOOKUP(E31,Lookup_Performance!$A:$D,4,TRUE())</f>
        <v>1745.64</v>
      </c>
    </row>
    <row r="32" spans="1:13">
      <c r="A32" t="s">
        <v>65</v>
      </c>
      <c r="B32" t="s">
        <v>19</v>
      </c>
      <c r="C32" t="s">
        <v>10</v>
      </c>
      <c r="D32" s="4">
        <v>42221</v>
      </c>
      <c r="E32" s="8">
        <v>80</v>
      </c>
      <c r="F32" t="s">
        <v>24</v>
      </c>
      <c r="G32" t="s">
        <v>34</v>
      </c>
      <c r="H32" s="10">
        <v>97055</v>
      </c>
      <c r="I32" t="str">
        <f t="shared" si="0"/>
        <v>Thomas Hernandez</v>
      </c>
      <c r="J32" t="str">
        <f>VLOOKUP(F32,Lookup_Departments!$A:$B,2,FALSE)</f>
        <v>Operations</v>
      </c>
      <c r="K32">
        <f t="shared" ca="1" si="1"/>
        <v>10</v>
      </c>
      <c r="L32" t="str">
        <f>VLOOKUP(E32,Lookup_Performance!$A:$D,3,TRUE)</f>
        <v>Achieving</v>
      </c>
      <c r="M32" s="11">
        <f>H32*VLOOKUP(E32,Lookup_Performance!$A:$D,4,TRUE())</f>
        <v>4852.75</v>
      </c>
    </row>
    <row r="33" spans="1:13">
      <c r="A33" t="s">
        <v>66</v>
      </c>
      <c r="B33" t="s">
        <v>32</v>
      </c>
      <c r="C33" t="s">
        <v>23</v>
      </c>
      <c r="D33" s="4">
        <v>45195</v>
      </c>
      <c r="E33" s="8">
        <v>72</v>
      </c>
      <c r="F33" t="s">
        <v>7</v>
      </c>
      <c r="G33" t="s">
        <v>34</v>
      </c>
      <c r="H33" s="10">
        <v>66069</v>
      </c>
      <c r="I33" t="str">
        <f t="shared" si="0"/>
        <v>Michael Johnson</v>
      </c>
      <c r="J33" t="str">
        <f>VLOOKUP(F33,Lookup_Departments!$A:$B,2,FALSE)</f>
        <v>Information Technology</v>
      </c>
      <c r="K33">
        <f t="shared" ca="1" si="1"/>
        <v>2</v>
      </c>
      <c r="L33" t="str">
        <f>VLOOKUP(E33,Lookup_Performance!$A:$D,3,TRUE)</f>
        <v>Achieving</v>
      </c>
      <c r="M33" s="11">
        <f>H33*VLOOKUP(E33,Lookup_Performance!$A:$D,4,TRUE())</f>
        <v>3303.4500000000003</v>
      </c>
    </row>
    <row r="34" spans="1:13">
      <c r="A34" t="s">
        <v>67</v>
      </c>
      <c r="B34" t="s">
        <v>68</v>
      </c>
      <c r="C34" t="s">
        <v>6</v>
      </c>
      <c r="D34" s="4">
        <v>43626</v>
      </c>
      <c r="E34" s="8">
        <v>58</v>
      </c>
      <c r="F34" t="s">
        <v>7</v>
      </c>
      <c r="G34" t="s">
        <v>34</v>
      </c>
      <c r="H34" s="10">
        <v>90157</v>
      </c>
      <c r="I34" t="str">
        <f t="shared" si="0"/>
        <v>Sarah Brown</v>
      </c>
      <c r="J34" t="str">
        <f>VLOOKUP(F34,Lookup_Departments!$A:$B,2,FALSE)</f>
        <v>Information Technology</v>
      </c>
      <c r="K34">
        <f t="shared" ca="1" si="1"/>
        <v>7</v>
      </c>
      <c r="L34" t="str">
        <f>VLOOKUP(E34,Lookup_Performance!$A:$D,3,TRUE)</f>
        <v>Developing</v>
      </c>
      <c r="M34" s="11">
        <f>H34*VLOOKUP(E34,Lookup_Performance!$A:$D,4,TRUE())</f>
        <v>1803.14</v>
      </c>
    </row>
    <row r="35" spans="1:13">
      <c r="A35" t="s">
        <v>69</v>
      </c>
      <c r="B35" t="s">
        <v>39</v>
      </c>
      <c r="C35" t="s">
        <v>16</v>
      </c>
      <c r="D35" s="4">
        <v>44578</v>
      </c>
      <c r="E35" s="8">
        <v>78</v>
      </c>
      <c r="F35" t="s">
        <v>70</v>
      </c>
      <c r="G35" t="s">
        <v>34</v>
      </c>
      <c r="H35" s="10">
        <v>59899</v>
      </c>
      <c r="I35" t="str">
        <f t="shared" si="0"/>
        <v>Jane Martinez</v>
      </c>
      <c r="J35" t="str">
        <f>VLOOKUP(F35,Lookup_Departments!$A:$B,2,FALSE)</f>
        <v>Human Resources</v>
      </c>
      <c r="K35">
        <f t="shared" ca="1" si="1"/>
        <v>4</v>
      </c>
      <c r="L35" t="str">
        <f>VLOOKUP(E35,Lookup_Performance!$A:$D,3,TRUE)</f>
        <v>Achieving</v>
      </c>
      <c r="M35" s="11">
        <f>H35*VLOOKUP(E35,Lookup_Performance!$A:$D,4,TRUE())</f>
        <v>2994.9500000000003</v>
      </c>
    </row>
    <row r="36" spans="1:13">
      <c r="A36" t="s">
        <v>71</v>
      </c>
      <c r="B36" t="s">
        <v>5</v>
      </c>
      <c r="C36" t="s">
        <v>44</v>
      </c>
      <c r="D36" s="4">
        <v>42919</v>
      </c>
      <c r="E36" s="8">
        <v>30</v>
      </c>
      <c r="F36" t="s">
        <v>17</v>
      </c>
      <c r="G36" t="s">
        <v>34</v>
      </c>
      <c r="H36" s="10">
        <v>113389</v>
      </c>
      <c r="I36" t="str">
        <f t="shared" si="0"/>
        <v>Emily Jones</v>
      </c>
      <c r="J36" t="str">
        <f>VLOOKUP(F36,Lookup_Departments!$A:$B,2,FALSE)</f>
        <v>Finance</v>
      </c>
      <c r="K36">
        <f t="shared" ca="1" si="1"/>
        <v>9</v>
      </c>
      <c r="L36" t="str">
        <f>VLOOKUP(E36,Lookup_Performance!$A:$D,3,TRUE)</f>
        <v>Needs Improvement</v>
      </c>
      <c r="M36" s="11">
        <f>H36*VLOOKUP(E36,Lookup_Performance!$A:$D,4,TRUE())</f>
        <v>0</v>
      </c>
    </row>
    <row r="37" spans="1:13">
      <c r="A37" t="s">
        <v>72</v>
      </c>
      <c r="B37" t="s">
        <v>212</v>
      </c>
      <c r="C37" t="s">
        <v>6</v>
      </c>
      <c r="D37" s="4">
        <v>42248</v>
      </c>
      <c r="E37" s="8">
        <v>52</v>
      </c>
      <c r="F37" t="s">
        <v>7</v>
      </c>
      <c r="G37" t="s">
        <v>34</v>
      </c>
      <c r="H37" s="10">
        <v>102691</v>
      </c>
      <c r="I37" t="str">
        <f t="shared" si="0"/>
        <v>unknown Brown</v>
      </c>
      <c r="J37" t="str">
        <f>VLOOKUP(F37,Lookup_Departments!$A:$B,2,FALSE)</f>
        <v>Information Technology</v>
      </c>
      <c r="K37">
        <f t="shared" ca="1" si="1"/>
        <v>10</v>
      </c>
      <c r="L37" t="str">
        <f>VLOOKUP(E37,Lookup_Performance!$A:$D,3,TRUE)</f>
        <v>Developing</v>
      </c>
      <c r="M37" s="11">
        <f>H37*VLOOKUP(E37,Lookup_Performance!$A:$D,4,TRUE())</f>
        <v>2053.8200000000002</v>
      </c>
    </row>
    <row r="38" spans="1:13">
      <c r="A38" t="s">
        <v>73</v>
      </c>
      <c r="B38" t="s">
        <v>15</v>
      </c>
      <c r="C38" t="s">
        <v>26</v>
      </c>
      <c r="D38" s="4">
        <v>44776</v>
      </c>
      <c r="E38" s="8">
        <v>98</v>
      </c>
      <c r="F38" t="s">
        <v>24</v>
      </c>
      <c r="G38" t="s">
        <v>34</v>
      </c>
      <c r="H38" s="10">
        <v>111845</v>
      </c>
      <c r="I38" t="str">
        <f t="shared" si="0"/>
        <v>John Wilson</v>
      </c>
      <c r="J38" t="str">
        <f>VLOOKUP(F38,Lookup_Departments!$A:$B,2,FALSE)</f>
        <v>Operations</v>
      </c>
      <c r="K38">
        <f t="shared" ca="1" si="1"/>
        <v>3</v>
      </c>
      <c r="L38" t="str">
        <f>VLOOKUP(E38,Lookup_Performance!$A:$D,3,TRUE)</f>
        <v>Outstanding</v>
      </c>
      <c r="M38" s="11">
        <f>H38*VLOOKUP(E38,Lookup_Performance!$A:$D,4,TRUE())</f>
        <v>13421.4</v>
      </c>
    </row>
    <row r="39" spans="1:13">
      <c r="A39" t="s">
        <v>74</v>
      </c>
      <c r="B39" t="s">
        <v>75</v>
      </c>
      <c r="C39" t="s">
        <v>6</v>
      </c>
      <c r="D39" s="4">
        <v>44741</v>
      </c>
      <c r="E39" s="8">
        <v>93</v>
      </c>
      <c r="F39" t="s">
        <v>33</v>
      </c>
      <c r="G39" t="s">
        <v>34</v>
      </c>
      <c r="H39" s="10">
        <v>69219</v>
      </c>
      <c r="I39" t="str">
        <f t="shared" si="0"/>
        <v>Melissa Brown</v>
      </c>
      <c r="J39" t="str">
        <f>VLOOKUP(F39,Lookup_Departments!$A:$B,2,FALSE)</f>
        <v>Sales</v>
      </c>
      <c r="K39">
        <f t="shared" ca="1" si="1"/>
        <v>4</v>
      </c>
      <c r="L39" t="str">
        <f>VLOOKUP(E39,Lookup_Performance!$A:$D,3,TRUE)</f>
        <v>Exceeding</v>
      </c>
      <c r="M39" s="11">
        <f>H39*VLOOKUP(E39,Lookup_Performance!$A:$D,4,TRUE())</f>
        <v>5537.52</v>
      </c>
    </row>
    <row r="40" spans="1:13">
      <c r="A40" t="s">
        <v>76</v>
      </c>
      <c r="B40" t="s">
        <v>32</v>
      </c>
      <c r="C40" t="s">
        <v>20</v>
      </c>
      <c r="D40" s="4">
        <v>43949</v>
      </c>
      <c r="E40" s="8">
        <v>80</v>
      </c>
      <c r="F40" t="s">
        <v>17</v>
      </c>
      <c r="G40" t="s">
        <v>21</v>
      </c>
      <c r="H40" s="10">
        <v>87938</v>
      </c>
      <c r="I40" t="str">
        <f t="shared" si="0"/>
        <v>Michael Smith</v>
      </c>
      <c r="J40" t="str">
        <f>VLOOKUP(F40,Lookup_Departments!$A:$B,2,FALSE)</f>
        <v>Finance</v>
      </c>
      <c r="K40">
        <f t="shared" ca="1" si="1"/>
        <v>6</v>
      </c>
      <c r="L40" t="str">
        <f>VLOOKUP(E40,Lookup_Performance!$A:$D,3,TRUE)</f>
        <v>Achieving</v>
      </c>
      <c r="M40" s="11">
        <f>H40*VLOOKUP(E40,Lookup_Performance!$A:$D,4,TRUE())</f>
        <v>4396.9000000000005</v>
      </c>
    </row>
    <row r="41" spans="1:13">
      <c r="A41" t="s">
        <v>77</v>
      </c>
      <c r="B41" t="s">
        <v>68</v>
      </c>
      <c r="C41" t="s">
        <v>36</v>
      </c>
      <c r="D41" s="4">
        <v>42987</v>
      </c>
      <c r="E41" s="8">
        <v>70</v>
      </c>
      <c r="F41" t="s">
        <v>24</v>
      </c>
      <c r="G41" t="s">
        <v>34</v>
      </c>
      <c r="H41" s="10">
        <v>57514</v>
      </c>
      <c r="I41" t="str">
        <f t="shared" si="0"/>
        <v>Sarah Miller</v>
      </c>
      <c r="J41" t="str">
        <f>VLOOKUP(F41,Lookup_Departments!$A:$B,2,FALSE)</f>
        <v>Operations</v>
      </c>
      <c r="K41">
        <f t="shared" ca="1" si="1"/>
        <v>8</v>
      </c>
      <c r="L41" t="str">
        <f>VLOOKUP(E41,Lookup_Performance!$A:$D,3,TRUE)</f>
        <v>Achieving</v>
      </c>
      <c r="M41" s="11">
        <f>H41*VLOOKUP(E41,Lookup_Performance!$A:$D,4,TRUE())</f>
        <v>2875.7000000000003</v>
      </c>
    </row>
    <row r="42" spans="1:13">
      <c r="A42" t="s">
        <v>78</v>
      </c>
      <c r="B42" t="s">
        <v>5</v>
      </c>
      <c r="C42" t="s">
        <v>26</v>
      </c>
      <c r="D42" s="4">
        <v>43181</v>
      </c>
      <c r="E42" s="8">
        <v>71</v>
      </c>
      <c r="F42" t="s">
        <v>33</v>
      </c>
      <c r="G42" t="s">
        <v>21</v>
      </c>
      <c r="H42" s="10">
        <v>86245</v>
      </c>
      <c r="I42" t="str">
        <f t="shared" si="0"/>
        <v>Emily Wilson</v>
      </c>
      <c r="J42" t="str">
        <f>VLOOKUP(F42,Lookup_Departments!$A:$B,2,FALSE)</f>
        <v>Sales</v>
      </c>
      <c r="K42">
        <f t="shared" ca="1" si="1"/>
        <v>8</v>
      </c>
      <c r="L42" t="str">
        <f>VLOOKUP(E42,Lookup_Performance!$A:$D,3,TRUE)</f>
        <v>Achieving</v>
      </c>
      <c r="M42" s="11">
        <f>H42*VLOOKUP(E42,Lookup_Performance!$A:$D,4,TRUE())</f>
        <v>4312.25</v>
      </c>
    </row>
    <row r="43" spans="1:13">
      <c r="A43" t="s">
        <v>79</v>
      </c>
      <c r="B43" t="s">
        <v>80</v>
      </c>
      <c r="C43" t="s">
        <v>10</v>
      </c>
      <c r="D43" s="4">
        <v>43958</v>
      </c>
      <c r="E43" s="8">
        <v>55</v>
      </c>
      <c r="F43" t="s">
        <v>33</v>
      </c>
      <c r="G43" t="s">
        <v>34</v>
      </c>
      <c r="H43" s="10">
        <v>52407</v>
      </c>
      <c r="I43" t="str">
        <f t="shared" si="0"/>
        <v>David Hernandez</v>
      </c>
      <c r="J43" t="str">
        <f>VLOOKUP(F43,Lookup_Departments!$A:$B,2,FALSE)</f>
        <v>Sales</v>
      </c>
      <c r="K43">
        <f t="shared" ca="1" si="1"/>
        <v>6</v>
      </c>
      <c r="L43" t="str">
        <f>VLOOKUP(E43,Lookup_Performance!$A:$D,3,TRUE)</f>
        <v>Developing</v>
      </c>
      <c r="M43" s="11">
        <f>H43*VLOOKUP(E43,Lookup_Performance!$A:$D,4,TRUE())</f>
        <v>1048.1400000000001</v>
      </c>
    </row>
    <row r="44" spans="1:13">
      <c r="A44" t="s">
        <v>81</v>
      </c>
      <c r="B44" t="s">
        <v>49</v>
      </c>
      <c r="C44" t="s">
        <v>20</v>
      </c>
      <c r="D44" s="4">
        <v>43549</v>
      </c>
      <c r="E44" s="8">
        <v>93</v>
      </c>
      <c r="F44" t="s">
        <v>24</v>
      </c>
      <c r="G44" t="s">
        <v>82</v>
      </c>
      <c r="H44" s="10">
        <v>66606</v>
      </c>
      <c r="I44" t="str">
        <f t="shared" si="0"/>
        <v>James Smith</v>
      </c>
      <c r="J44" t="str">
        <f>VLOOKUP(F44,Lookup_Departments!$A:$B,2,FALSE)</f>
        <v>Operations</v>
      </c>
      <c r="K44">
        <f t="shared" ca="1" si="1"/>
        <v>7</v>
      </c>
      <c r="L44" t="str">
        <f>VLOOKUP(E44,Lookup_Performance!$A:$D,3,TRUE)</f>
        <v>Exceeding</v>
      </c>
      <c r="M44" s="11">
        <f>H44*VLOOKUP(E44,Lookup_Performance!$A:$D,4,TRUE())</f>
        <v>5328.4800000000005</v>
      </c>
    </row>
    <row r="45" spans="1:13">
      <c r="A45" t="s">
        <v>83</v>
      </c>
      <c r="B45" t="s">
        <v>68</v>
      </c>
      <c r="C45" t="s">
        <v>40</v>
      </c>
      <c r="D45" s="4">
        <v>43686</v>
      </c>
      <c r="E45" s="8">
        <v>79</v>
      </c>
      <c r="F45" t="s">
        <v>7</v>
      </c>
      <c r="G45" t="s">
        <v>82</v>
      </c>
      <c r="H45" s="10">
        <v>81896</v>
      </c>
      <c r="I45" t="str">
        <f t="shared" si="0"/>
        <v>Sarah Williams</v>
      </c>
      <c r="J45" t="str">
        <f>VLOOKUP(F45,Lookup_Departments!$A:$B,2,FALSE)</f>
        <v>Information Technology</v>
      </c>
      <c r="K45">
        <f t="shared" ca="1" si="1"/>
        <v>6</v>
      </c>
      <c r="L45" t="str">
        <f>VLOOKUP(E45,Lookup_Performance!$A:$D,3,TRUE)</f>
        <v>Achieving</v>
      </c>
      <c r="M45" s="11">
        <f>H45*VLOOKUP(E45,Lookup_Performance!$A:$D,4,TRUE())</f>
        <v>4094.8</v>
      </c>
    </row>
    <row r="46" spans="1:13">
      <c r="A46" t="s">
        <v>84</v>
      </c>
      <c r="B46" t="s">
        <v>54</v>
      </c>
      <c r="C46" t="s">
        <v>52</v>
      </c>
      <c r="D46" s="4">
        <v>42565</v>
      </c>
      <c r="E46" s="8">
        <v>54</v>
      </c>
      <c r="F46" t="s">
        <v>33</v>
      </c>
      <c r="G46" t="s">
        <v>34</v>
      </c>
      <c r="H46" s="10">
        <v>78402</v>
      </c>
      <c r="I46" t="str">
        <f t="shared" si="0"/>
        <v>Amanda Lopez</v>
      </c>
      <c r="J46" t="str">
        <f>VLOOKUP(F46,Lookup_Departments!$A:$B,2,FALSE)</f>
        <v>Sales</v>
      </c>
      <c r="K46">
        <f t="shared" ca="1" si="1"/>
        <v>9</v>
      </c>
      <c r="L46" t="str">
        <f>VLOOKUP(E46,Lookup_Performance!$A:$D,3,TRUE)</f>
        <v>Developing</v>
      </c>
      <c r="M46" s="11">
        <f>H46*VLOOKUP(E46,Lookup_Performance!$A:$D,4,TRUE())</f>
        <v>1568.04</v>
      </c>
    </row>
    <row r="47" spans="1:13">
      <c r="A47" t="s">
        <v>85</v>
      </c>
      <c r="B47" t="s">
        <v>19</v>
      </c>
      <c r="C47" t="s">
        <v>52</v>
      </c>
      <c r="D47" s="4">
        <v>42647</v>
      </c>
      <c r="E47" s="8">
        <v>76</v>
      </c>
      <c r="F47" t="s">
        <v>24</v>
      </c>
      <c r="G47" t="s">
        <v>34</v>
      </c>
      <c r="H47" s="10">
        <v>105498</v>
      </c>
      <c r="I47" t="str">
        <f t="shared" si="0"/>
        <v>Thomas Lopez</v>
      </c>
      <c r="J47" t="str">
        <f>VLOOKUP(F47,Lookup_Departments!$A:$B,2,FALSE)</f>
        <v>Operations</v>
      </c>
      <c r="K47">
        <f t="shared" ca="1" si="1"/>
        <v>9</v>
      </c>
      <c r="L47" t="str">
        <f>VLOOKUP(E47,Lookup_Performance!$A:$D,3,TRUE)</f>
        <v>Achieving</v>
      </c>
      <c r="M47" s="11">
        <f>H47*VLOOKUP(E47,Lookup_Performance!$A:$D,4,TRUE())</f>
        <v>5274.9000000000005</v>
      </c>
    </row>
    <row r="48" spans="1:13">
      <c r="A48" t="s">
        <v>86</v>
      </c>
      <c r="B48" t="s">
        <v>75</v>
      </c>
      <c r="C48" t="s">
        <v>23</v>
      </c>
      <c r="D48" s="4">
        <v>43656</v>
      </c>
      <c r="E48" s="8">
        <v>72</v>
      </c>
      <c r="F48" t="s">
        <v>11</v>
      </c>
      <c r="G48" t="s">
        <v>21</v>
      </c>
      <c r="H48" s="10">
        <v>91749</v>
      </c>
      <c r="I48" t="str">
        <f t="shared" si="0"/>
        <v>Melissa Johnson</v>
      </c>
      <c r="J48" t="str">
        <f>VLOOKUP(F48,Lookup_Departments!$A:$B,2,FALSE)</f>
        <v>Marketing</v>
      </c>
      <c r="K48">
        <f t="shared" ca="1" si="1"/>
        <v>6</v>
      </c>
      <c r="L48" t="str">
        <f>VLOOKUP(E48,Lookup_Performance!$A:$D,3,TRUE)</f>
        <v>Achieving</v>
      </c>
      <c r="M48" s="11">
        <f>H48*VLOOKUP(E48,Lookup_Performance!$A:$D,4,TRUE())</f>
        <v>4587.45</v>
      </c>
    </row>
    <row r="49" spans="1:13">
      <c r="A49" t="s">
        <v>87</v>
      </c>
      <c r="B49" t="s">
        <v>54</v>
      </c>
      <c r="C49" t="s">
        <v>23</v>
      </c>
      <c r="D49" s="4">
        <v>44437</v>
      </c>
      <c r="E49" s="8">
        <v>84</v>
      </c>
      <c r="F49" t="s">
        <v>24</v>
      </c>
      <c r="G49" t="s">
        <v>82</v>
      </c>
      <c r="H49" s="10">
        <v>99935</v>
      </c>
      <c r="I49" t="str">
        <f t="shared" si="0"/>
        <v>Amanda Johnson</v>
      </c>
      <c r="J49" t="str">
        <f>VLOOKUP(F49,Lookup_Departments!$A:$B,2,FALSE)</f>
        <v>Operations</v>
      </c>
      <c r="K49">
        <f t="shared" ca="1" si="1"/>
        <v>4</v>
      </c>
      <c r="L49" t="str">
        <f>VLOOKUP(E49,Lookup_Performance!$A:$D,3,TRUE)</f>
        <v>Achieving</v>
      </c>
      <c r="M49" s="11">
        <f>H49*VLOOKUP(E49,Lookup_Performance!$A:$D,4,TRUE())</f>
        <v>4996.75</v>
      </c>
    </row>
    <row r="50" spans="1:13">
      <c r="A50" t="s">
        <v>88</v>
      </c>
      <c r="B50" t="s">
        <v>15</v>
      </c>
      <c r="C50" t="s">
        <v>47</v>
      </c>
      <c r="D50" s="4">
        <v>42761</v>
      </c>
      <c r="E50" s="8">
        <v>30</v>
      </c>
      <c r="F50" t="s">
        <v>7</v>
      </c>
      <c r="G50" t="s">
        <v>21</v>
      </c>
      <c r="H50" s="10">
        <v>83531</v>
      </c>
      <c r="I50" t="str">
        <f t="shared" si="0"/>
        <v>John Davis</v>
      </c>
      <c r="J50" t="str">
        <f>VLOOKUP(F50,Lookup_Departments!$A:$B,2,FALSE)</f>
        <v>Information Technology</v>
      </c>
      <c r="K50">
        <f t="shared" ca="1" si="1"/>
        <v>9</v>
      </c>
      <c r="L50" t="str">
        <f>VLOOKUP(E50,Lookup_Performance!$A:$D,3,TRUE)</f>
        <v>Needs Improvement</v>
      </c>
      <c r="M50" s="11">
        <f>H50*VLOOKUP(E50,Lookup_Performance!$A:$D,4,TRUE())</f>
        <v>0</v>
      </c>
    </row>
    <row r="51" spans="1:13">
      <c r="A51" t="s">
        <v>89</v>
      </c>
      <c r="B51" t="s">
        <v>49</v>
      </c>
      <c r="C51" t="s">
        <v>23</v>
      </c>
      <c r="D51" s="4">
        <v>43981</v>
      </c>
      <c r="E51" s="8">
        <v>74</v>
      </c>
      <c r="F51" t="s">
        <v>11</v>
      </c>
      <c r="G51" t="s">
        <v>34</v>
      </c>
      <c r="H51" s="10">
        <v>75023</v>
      </c>
      <c r="I51" t="str">
        <f t="shared" si="0"/>
        <v>James Johnson</v>
      </c>
      <c r="J51" t="str">
        <f>VLOOKUP(F51,Lookup_Departments!$A:$B,2,FALSE)</f>
        <v>Marketing</v>
      </c>
      <c r="K51">
        <f t="shared" ca="1" si="1"/>
        <v>6</v>
      </c>
      <c r="L51" t="str">
        <f>VLOOKUP(E51,Lookup_Performance!$A:$D,3,TRUE)</f>
        <v>Achieving</v>
      </c>
      <c r="M51" s="11">
        <f>H51*VLOOKUP(E51,Lookup_Performance!$A:$D,4,TRUE())</f>
        <v>3751.15</v>
      </c>
    </row>
    <row r="52" spans="1:13">
      <c r="A52" t="s">
        <v>90</v>
      </c>
      <c r="B52" t="s">
        <v>39</v>
      </c>
      <c r="C52" t="s">
        <v>47</v>
      </c>
      <c r="D52" s="4">
        <v>44612</v>
      </c>
      <c r="E52" s="8">
        <v>53</v>
      </c>
      <c r="F52" t="s">
        <v>70</v>
      </c>
      <c r="G52" t="s">
        <v>34</v>
      </c>
      <c r="H52" s="10">
        <v>93290</v>
      </c>
      <c r="I52" t="str">
        <f t="shared" si="0"/>
        <v>Jane Davis</v>
      </c>
      <c r="J52" t="str">
        <f>VLOOKUP(F52,Lookup_Departments!$A:$B,2,FALSE)</f>
        <v>Human Resources</v>
      </c>
      <c r="K52">
        <f t="shared" ca="1" si="1"/>
        <v>4</v>
      </c>
      <c r="L52" t="str">
        <f>VLOOKUP(E52,Lookup_Performance!$A:$D,3,TRUE)</f>
        <v>Developing</v>
      </c>
      <c r="M52" s="11">
        <f>H52*VLOOKUP(E52,Lookup_Performance!$A:$D,4,TRUE())</f>
        <v>1865.8</v>
      </c>
    </row>
    <row r="53" spans="1:13">
      <c r="A53" t="s">
        <v>91</v>
      </c>
      <c r="B53" t="s">
        <v>9</v>
      </c>
      <c r="C53" t="s">
        <v>47</v>
      </c>
      <c r="D53" s="4">
        <v>42628</v>
      </c>
      <c r="E53" s="8">
        <v>63</v>
      </c>
      <c r="F53" t="s">
        <v>24</v>
      </c>
      <c r="G53" t="s">
        <v>82</v>
      </c>
      <c r="H53" s="10">
        <v>115527</v>
      </c>
      <c r="I53" t="str">
        <f t="shared" si="0"/>
        <v>Richard Davis</v>
      </c>
      <c r="J53" t="str">
        <f>VLOOKUP(F53,Lookup_Departments!$A:$B,2,FALSE)</f>
        <v>Operations</v>
      </c>
      <c r="K53">
        <f t="shared" ca="1" si="1"/>
        <v>9</v>
      </c>
      <c r="L53" t="str">
        <f>VLOOKUP(E53,Lookup_Performance!$A:$D,3,TRUE)</f>
        <v>Developing</v>
      </c>
      <c r="M53" s="11">
        <f>H53*VLOOKUP(E53,Lookup_Performance!$A:$D,4,TRUE())</f>
        <v>2310.54</v>
      </c>
    </row>
    <row r="54" spans="1:13">
      <c r="A54" t="s">
        <v>92</v>
      </c>
      <c r="B54" t="s">
        <v>19</v>
      </c>
      <c r="C54" t="s">
        <v>30</v>
      </c>
      <c r="D54" s="4">
        <v>43745</v>
      </c>
      <c r="E54" s="8">
        <v>84</v>
      </c>
      <c r="F54" t="s">
        <v>17</v>
      </c>
      <c r="G54" t="s">
        <v>34</v>
      </c>
      <c r="H54" s="10">
        <v>55920</v>
      </c>
      <c r="I54" t="str">
        <f t="shared" si="0"/>
        <v>Thomas Rodriguez</v>
      </c>
      <c r="J54" t="str">
        <f>VLOOKUP(F54,Lookup_Departments!$A:$B,2,FALSE)</f>
        <v>Finance</v>
      </c>
      <c r="K54">
        <f t="shared" ca="1" si="1"/>
        <v>6</v>
      </c>
      <c r="L54" t="str">
        <f>VLOOKUP(E54,Lookup_Performance!$A:$D,3,TRUE)</f>
        <v>Achieving</v>
      </c>
      <c r="M54" s="11">
        <f>H54*VLOOKUP(E54,Lookup_Performance!$A:$D,4,TRUE())</f>
        <v>2796</v>
      </c>
    </row>
    <row r="55" spans="1:13">
      <c r="A55" t="s">
        <v>93</v>
      </c>
      <c r="B55" t="s">
        <v>5</v>
      </c>
      <c r="C55" t="s">
        <v>23</v>
      </c>
      <c r="D55" s="4">
        <v>43464</v>
      </c>
      <c r="E55" s="8">
        <v>30</v>
      </c>
      <c r="F55" t="s">
        <v>33</v>
      </c>
      <c r="G55" t="s">
        <v>34</v>
      </c>
      <c r="H55" s="10">
        <v>80189</v>
      </c>
      <c r="I55" t="str">
        <f t="shared" si="0"/>
        <v>Emily Johnson</v>
      </c>
      <c r="J55" t="str">
        <f>VLOOKUP(F55,Lookup_Departments!$A:$B,2,FALSE)</f>
        <v>Sales</v>
      </c>
      <c r="K55">
        <f t="shared" ca="1" si="1"/>
        <v>7</v>
      </c>
      <c r="L55" t="str">
        <f>VLOOKUP(E55,Lookup_Performance!$A:$D,3,TRUE)</f>
        <v>Needs Improvement</v>
      </c>
      <c r="M55" s="11">
        <f>H55*VLOOKUP(E55,Lookup_Performance!$A:$D,4,TRUE())</f>
        <v>0</v>
      </c>
    </row>
    <row r="56" spans="1:13">
      <c r="A56" t="s">
        <v>94</v>
      </c>
      <c r="B56" t="s">
        <v>5</v>
      </c>
      <c r="C56" t="s">
        <v>95</v>
      </c>
      <c r="D56" s="4">
        <v>44189</v>
      </c>
      <c r="E56" s="8">
        <v>96</v>
      </c>
      <c r="F56" t="s">
        <v>70</v>
      </c>
      <c r="G56" t="s">
        <v>34</v>
      </c>
      <c r="H56" s="10">
        <v>118947</v>
      </c>
      <c r="I56" t="str">
        <f t="shared" si="0"/>
        <v>Emily Garcia</v>
      </c>
      <c r="J56" t="str">
        <f>VLOOKUP(F56,Lookup_Departments!$A:$B,2,FALSE)</f>
        <v>Human Resources</v>
      </c>
      <c r="K56">
        <f t="shared" ca="1" si="1"/>
        <v>5</v>
      </c>
      <c r="L56" t="str">
        <f>VLOOKUP(E56,Lookup_Performance!$A:$D,3,TRUE)</f>
        <v>Outstanding</v>
      </c>
      <c r="M56" s="11">
        <f>H56*VLOOKUP(E56,Lookup_Performance!$A:$D,4,TRUE())</f>
        <v>14273.64</v>
      </c>
    </row>
    <row r="57" spans="1:13">
      <c r="A57" t="s">
        <v>96</v>
      </c>
      <c r="B57" t="s">
        <v>39</v>
      </c>
      <c r="C57" t="s">
        <v>97</v>
      </c>
      <c r="D57" s="4">
        <v>45112</v>
      </c>
      <c r="E57" s="8">
        <v>54</v>
      </c>
      <c r="F57" t="s">
        <v>7</v>
      </c>
      <c r="G57" t="s">
        <v>34</v>
      </c>
      <c r="H57" s="10">
        <v>80014</v>
      </c>
      <c r="I57" t="str">
        <f t="shared" si="0"/>
        <v>Jane Anderson</v>
      </c>
      <c r="J57" t="str">
        <f>VLOOKUP(F57,Lookup_Departments!$A:$B,2,FALSE)</f>
        <v>Information Technology</v>
      </c>
      <c r="K57">
        <f t="shared" ca="1" si="1"/>
        <v>3</v>
      </c>
      <c r="L57" t="str">
        <f>VLOOKUP(E57,Lookup_Performance!$A:$D,3,TRUE)</f>
        <v>Developing</v>
      </c>
      <c r="M57" s="11">
        <f>H57*VLOOKUP(E57,Lookup_Performance!$A:$D,4,TRUE())</f>
        <v>1600.28</v>
      </c>
    </row>
    <row r="58" spans="1:13">
      <c r="A58" t="s">
        <v>98</v>
      </c>
      <c r="B58" t="s">
        <v>19</v>
      </c>
      <c r="C58" t="s">
        <v>95</v>
      </c>
      <c r="D58" s="4">
        <v>44148</v>
      </c>
      <c r="E58" s="8">
        <v>75</v>
      </c>
      <c r="F58" t="s">
        <v>24</v>
      </c>
      <c r="G58" t="s">
        <v>34</v>
      </c>
      <c r="H58" s="10">
        <v>79787</v>
      </c>
      <c r="I58" t="str">
        <f t="shared" si="0"/>
        <v>Thomas Garcia</v>
      </c>
      <c r="J58" t="str">
        <f>VLOOKUP(F58,Lookup_Departments!$A:$B,2,FALSE)</f>
        <v>Operations</v>
      </c>
      <c r="K58">
        <f t="shared" ca="1" si="1"/>
        <v>5</v>
      </c>
      <c r="L58" t="str">
        <f>VLOOKUP(E58,Lookup_Performance!$A:$D,3,TRUE)</f>
        <v>Achieving</v>
      </c>
      <c r="M58" s="11">
        <f>H58*VLOOKUP(E58,Lookup_Performance!$A:$D,4,TRUE())</f>
        <v>3989.3500000000004</v>
      </c>
    </row>
    <row r="59" spans="1:13">
      <c r="A59" t="s">
        <v>99</v>
      </c>
      <c r="B59" t="s">
        <v>80</v>
      </c>
      <c r="C59" t="s">
        <v>16</v>
      </c>
      <c r="D59" s="4">
        <v>43138</v>
      </c>
      <c r="E59" s="8">
        <v>95</v>
      </c>
      <c r="F59" t="s">
        <v>70</v>
      </c>
      <c r="G59" t="s">
        <v>34</v>
      </c>
      <c r="H59" s="10">
        <v>91655</v>
      </c>
      <c r="I59" t="str">
        <f t="shared" si="0"/>
        <v>David Martinez</v>
      </c>
      <c r="J59" t="str">
        <f>VLOOKUP(F59,Lookup_Departments!$A:$B,2,FALSE)</f>
        <v>Human Resources</v>
      </c>
      <c r="K59">
        <f t="shared" ca="1" si="1"/>
        <v>8</v>
      </c>
      <c r="L59" t="str">
        <f>VLOOKUP(E59,Lookup_Performance!$A:$D,3,TRUE)</f>
        <v>Outstanding</v>
      </c>
      <c r="M59" s="11">
        <f>H59*VLOOKUP(E59,Lookup_Performance!$A:$D,4,TRUE())</f>
        <v>10998.6</v>
      </c>
    </row>
    <row r="60" spans="1:13">
      <c r="A60" t="s">
        <v>100</v>
      </c>
      <c r="B60" t="s">
        <v>5</v>
      </c>
      <c r="C60" t="s">
        <v>6</v>
      </c>
      <c r="D60" s="4">
        <v>45255</v>
      </c>
      <c r="E60" s="8">
        <v>65</v>
      </c>
      <c r="F60" t="s">
        <v>7</v>
      </c>
      <c r="G60" t="s">
        <v>21</v>
      </c>
      <c r="H60" s="10">
        <v>49435</v>
      </c>
      <c r="I60" t="str">
        <f t="shared" si="0"/>
        <v>Emily Brown</v>
      </c>
      <c r="J60" t="str">
        <f>VLOOKUP(F60,Lookup_Departments!$A:$B,2,FALSE)</f>
        <v>Information Technology</v>
      </c>
      <c r="K60">
        <f t="shared" ca="1" si="1"/>
        <v>2</v>
      </c>
      <c r="L60" t="str">
        <f>VLOOKUP(E60,Lookup_Performance!$A:$D,3,TRUE)</f>
        <v>Developing</v>
      </c>
      <c r="M60" s="11">
        <f>H60*VLOOKUP(E60,Lookup_Performance!$A:$D,4,TRUE())</f>
        <v>988.7</v>
      </c>
    </row>
    <row r="61" spans="1:13">
      <c r="A61" t="s">
        <v>101</v>
      </c>
      <c r="B61" t="s">
        <v>5</v>
      </c>
      <c r="C61" t="s">
        <v>26</v>
      </c>
      <c r="D61" s="4">
        <v>45217</v>
      </c>
      <c r="E61" s="8">
        <v>93</v>
      </c>
      <c r="F61" t="s">
        <v>33</v>
      </c>
      <c r="G61" t="s">
        <v>34</v>
      </c>
      <c r="H61" s="10">
        <v>110381</v>
      </c>
      <c r="I61" t="str">
        <f t="shared" si="0"/>
        <v>Emily Wilson</v>
      </c>
      <c r="J61" t="str">
        <f>VLOOKUP(F61,Lookup_Departments!$A:$B,2,FALSE)</f>
        <v>Sales</v>
      </c>
      <c r="K61">
        <f t="shared" ca="1" si="1"/>
        <v>2</v>
      </c>
      <c r="L61" t="str">
        <f>VLOOKUP(E61,Lookup_Performance!$A:$D,3,TRUE)</f>
        <v>Exceeding</v>
      </c>
      <c r="M61" s="11">
        <f>H61*VLOOKUP(E61,Lookup_Performance!$A:$D,4,TRUE())</f>
        <v>8830.48</v>
      </c>
    </row>
    <row r="62" spans="1:13">
      <c r="A62" t="s">
        <v>102</v>
      </c>
      <c r="B62" t="s">
        <v>32</v>
      </c>
      <c r="C62" t="s">
        <v>97</v>
      </c>
      <c r="D62" s="4">
        <v>44079</v>
      </c>
      <c r="E62" s="8">
        <v>33</v>
      </c>
      <c r="F62" t="s">
        <v>70</v>
      </c>
      <c r="G62" t="s">
        <v>34</v>
      </c>
      <c r="H62" s="10">
        <v>114748</v>
      </c>
      <c r="I62" t="str">
        <f t="shared" si="0"/>
        <v>Michael Anderson</v>
      </c>
      <c r="J62" t="str">
        <f>VLOOKUP(F62,Lookup_Departments!$A:$B,2,FALSE)</f>
        <v>Human Resources</v>
      </c>
      <c r="K62">
        <f t="shared" ca="1" si="1"/>
        <v>5</v>
      </c>
      <c r="L62" t="str">
        <f>VLOOKUP(E62,Lookup_Performance!$A:$D,3,TRUE)</f>
        <v>Needs Improvement</v>
      </c>
      <c r="M62" s="11">
        <f>H62*VLOOKUP(E62,Lookup_Performance!$A:$D,4,TRUE())</f>
        <v>0</v>
      </c>
    </row>
    <row r="63" spans="1:13">
      <c r="A63" t="s">
        <v>103</v>
      </c>
      <c r="B63" t="s">
        <v>43</v>
      </c>
      <c r="C63" t="s">
        <v>23</v>
      </c>
      <c r="D63" s="4">
        <v>42800</v>
      </c>
      <c r="E63" s="8">
        <v>91</v>
      </c>
      <c r="F63" t="s">
        <v>24</v>
      </c>
      <c r="G63" t="s">
        <v>34</v>
      </c>
      <c r="H63" s="10">
        <v>63302</v>
      </c>
      <c r="I63" t="str">
        <f t="shared" si="0"/>
        <v>Robert Johnson</v>
      </c>
      <c r="J63" t="str">
        <f>VLOOKUP(F63,Lookup_Departments!$A:$B,2,FALSE)</f>
        <v>Operations</v>
      </c>
      <c r="K63">
        <f t="shared" ca="1" si="1"/>
        <v>9</v>
      </c>
      <c r="L63" t="str">
        <f>VLOOKUP(E63,Lookup_Performance!$A:$D,3,TRUE)</f>
        <v>Exceeding</v>
      </c>
      <c r="M63" s="11">
        <f>H63*VLOOKUP(E63,Lookup_Performance!$A:$D,4,TRUE())</f>
        <v>5064.16</v>
      </c>
    </row>
    <row r="64" spans="1:13">
      <c r="A64" t="s">
        <v>104</v>
      </c>
      <c r="B64" t="s">
        <v>43</v>
      </c>
      <c r="C64" t="s">
        <v>36</v>
      </c>
      <c r="D64" s="4">
        <v>42122</v>
      </c>
      <c r="E64" s="8">
        <v>64</v>
      </c>
      <c r="F64" t="s">
        <v>7</v>
      </c>
      <c r="G64" t="s">
        <v>34</v>
      </c>
      <c r="H64" s="10">
        <v>75519</v>
      </c>
      <c r="I64" t="str">
        <f t="shared" si="0"/>
        <v>Robert Miller</v>
      </c>
      <c r="J64" t="str">
        <f>VLOOKUP(F64,Lookup_Departments!$A:$B,2,FALSE)</f>
        <v>Information Technology</v>
      </c>
      <c r="K64">
        <f t="shared" ca="1" si="1"/>
        <v>11</v>
      </c>
      <c r="L64" t="str">
        <f>VLOOKUP(E64,Lookup_Performance!$A:$D,3,TRUE)</f>
        <v>Developing</v>
      </c>
      <c r="M64" s="11">
        <f>H64*VLOOKUP(E64,Lookup_Performance!$A:$D,4,TRUE())</f>
        <v>1510.38</v>
      </c>
    </row>
    <row r="65" spans="1:13">
      <c r="A65" t="s">
        <v>105</v>
      </c>
      <c r="B65" t="s">
        <v>39</v>
      </c>
      <c r="C65" t="s">
        <v>47</v>
      </c>
      <c r="D65" s="4">
        <v>42838</v>
      </c>
      <c r="E65" s="8">
        <v>80</v>
      </c>
      <c r="F65" t="s">
        <v>17</v>
      </c>
      <c r="G65" t="s">
        <v>34</v>
      </c>
      <c r="H65" s="10">
        <v>103891</v>
      </c>
      <c r="I65" t="str">
        <f t="shared" si="0"/>
        <v>Jane Davis</v>
      </c>
      <c r="J65" t="str">
        <f>VLOOKUP(F65,Lookup_Departments!$A:$B,2,FALSE)</f>
        <v>Finance</v>
      </c>
      <c r="K65">
        <f t="shared" ca="1" si="1"/>
        <v>9</v>
      </c>
      <c r="L65" t="str">
        <f>VLOOKUP(E65,Lookup_Performance!$A:$D,3,TRUE)</f>
        <v>Achieving</v>
      </c>
      <c r="M65" s="11">
        <f>H65*VLOOKUP(E65,Lookup_Performance!$A:$D,4,TRUE())</f>
        <v>5194.55</v>
      </c>
    </row>
    <row r="66" spans="1:13">
      <c r="A66" t="s">
        <v>106</v>
      </c>
      <c r="B66" t="s">
        <v>19</v>
      </c>
      <c r="C66" t="s">
        <v>47</v>
      </c>
      <c r="D66" s="4">
        <v>44827</v>
      </c>
      <c r="E66" s="8">
        <v>46</v>
      </c>
      <c r="F66" t="s">
        <v>24</v>
      </c>
      <c r="G66" t="s">
        <v>21</v>
      </c>
      <c r="H66" s="10">
        <v>79787</v>
      </c>
      <c r="I66" t="str">
        <f t="shared" si="0"/>
        <v>Thomas Davis</v>
      </c>
      <c r="J66" t="str">
        <f>VLOOKUP(F66,Lookup_Departments!$A:$B,2,FALSE)</f>
        <v>Operations</v>
      </c>
      <c r="K66">
        <f t="shared" ca="1" si="1"/>
        <v>3</v>
      </c>
      <c r="L66" t="str">
        <f>VLOOKUP(E66,Lookup_Performance!$A:$D,3,TRUE)</f>
        <v>Needs Improvement</v>
      </c>
      <c r="M66" s="11">
        <f>H66*VLOOKUP(E66,Lookup_Performance!$A:$D,4,TRUE())</f>
        <v>0</v>
      </c>
    </row>
    <row r="67" spans="1:13">
      <c r="A67" t="s">
        <v>107</v>
      </c>
      <c r="B67" t="s">
        <v>19</v>
      </c>
      <c r="C67" t="s">
        <v>44</v>
      </c>
      <c r="D67" s="4">
        <v>42685</v>
      </c>
      <c r="E67" s="8">
        <v>99</v>
      </c>
      <c r="F67" t="s">
        <v>11</v>
      </c>
      <c r="G67" t="s">
        <v>34</v>
      </c>
      <c r="H67" s="10">
        <v>50936</v>
      </c>
      <c r="I67" t="str">
        <f t="shared" ref="I67:I130" si="2">TRIM(B67&amp;" "&amp;C67)</f>
        <v>Thomas Jones</v>
      </c>
      <c r="J67" t="str">
        <f>VLOOKUP(F67,Lookup_Departments!$A:$B,2,FALSE)</f>
        <v>Marketing</v>
      </c>
      <c r="K67">
        <f t="shared" ref="K67:K130" ca="1" si="3">DATEDIF(D67,TODAY(),"y")</f>
        <v>9</v>
      </c>
      <c r="L67" t="str">
        <f>VLOOKUP(E67,Lookup_Performance!$A:$D,3,TRUE)</f>
        <v>Outstanding</v>
      </c>
      <c r="M67" s="11">
        <f>H67*VLOOKUP(E67,Lookup_Performance!$A:$D,4,TRUE())</f>
        <v>6112.32</v>
      </c>
    </row>
    <row r="68" spans="1:13">
      <c r="A68" t="s">
        <v>108</v>
      </c>
      <c r="B68" t="s">
        <v>32</v>
      </c>
      <c r="C68" t="s">
        <v>36</v>
      </c>
      <c r="D68" s="4">
        <v>42818</v>
      </c>
      <c r="E68" s="8">
        <v>64</v>
      </c>
      <c r="F68" t="s">
        <v>33</v>
      </c>
      <c r="G68" t="s">
        <v>34</v>
      </c>
      <c r="H68" s="10">
        <v>111240</v>
      </c>
      <c r="I68" t="str">
        <f t="shared" si="2"/>
        <v>Michael Miller</v>
      </c>
      <c r="J68" t="str">
        <f>VLOOKUP(F68,Lookup_Departments!$A:$B,2,FALSE)</f>
        <v>Sales</v>
      </c>
      <c r="K68">
        <f t="shared" ca="1" si="3"/>
        <v>9</v>
      </c>
      <c r="L68" t="str">
        <f>VLOOKUP(E68,Lookup_Performance!$A:$D,3,TRUE)</f>
        <v>Developing</v>
      </c>
      <c r="M68" s="11">
        <f>H68*VLOOKUP(E68,Lookup_Performance!$A:$D,4,TRUE())</f>
        <v>2224.8000000000002</v>
      </c>
    </row>
    <row r="69" spans="1:13">
      <c r="A69" t="s">
        <v>109</v>
      </c>
      <c r="B69" t="s">
        <v>9</v>
      </c>
      <c r="C69" t="s">
        <v>13</v>
      </c>
      <c r="D69" s="4">
        <v>43590</v>
      </c>
      <c r="E69" s="8">
        <v>87</v>
      </c>
      <c r="F69" t="s">
        <v>70</v>
      </c>
      <c r="G69" t="s">
        <v>82</v>
      </c>
      <c r="H69" s="10">
        <v>51567</v>
      </c>
      <c r="I69" t="str">
        <f t="shared" si="2"/>
        <v>Richard Gonzalez</v>
      </c>
      <c r="J69" t="str">
        <f>VLOOKUP(F69,Lookup_Departments!$A:$B,2,FALSE)</f>
        <v>Human Resources</v>
      </c>
      <c r="K69">
        <f t="shared" ca="1" si="3"/>
        <v>7</v>
      </c>
      <c r="L69" t="str">
        <f>VLOOKUP(E69,Lookup_Performance!$A:$D,3,TRUE)</f>
        <v>Exceeding</v>
      </c>
      <c r="M69" s="11">
        <f>H69*VLOOKUP(E69,Lookup_Performance!$A:$D,4,TRUE())</f>
        <v>4125.3599999999997</v>
      </c>
    </row>
    <row r="70" spans="1:13">
      <c r="A70" t="s">
        <v>110</v>
      </c>
      <c r="B70" t="s">
        <v>75</v>
      </c>
      <c r="C70" t="s">
        <v>40</v>
      </c>
      <c r="D70" s="4">
        <v>44402</v>
      </c>
      <c r="E70" s="8">
        <v>36</v>
      </c>
      <c r="F70" t="s">
        <v>70</v>
      </c>
      <c r="G70" t="s">
        <v>34</v>
      </c>
      <c r="H70" s="10">
        <v>85650</v>
      </c>
      <c r="I70" t="str">
        <f t="shared" si="2"/>
        <v>Melissa Williams</v>
      </c>
      <c r="J70" t="str">
        <f>VLOOKUP(F70,Lookup_Departments!$A:$B,2,FALSE)</f>
        <v>Human Resources</v>
      </c>
      <c r="K70">
        <f t="shared" ca="1" si="3"/>
        <v>4</v>
      </c>
      <c r="L70" t="str">
        <f>VLOOKUP(E70,Lookup_Performance!$A:$D,3,TRUE)</f>
        <v>Needs Improvement</v>
      </c>
      <c r="M70" s="11">
        <f>H70*VLOOKUP(E70,Lookup_Performance!$A:$D,4,TRUE())</f>
        <v>0</v>
      </c>
    </row>
    <row r="71" spans="1:13">
      <c r="A71" t="s">
        <v>111</v>
      </c>
      <c r="B71" t="s">
        <v>43</v>
      </c>
      <c r="C71" t="s">
        <v>36</v>
      </c>
      <c r="D71" s="4">
        <v>43008</v>
      </c>
      <c r="E71" s="8">
        <v>87</v>
      </c>
      <c r="F71" t="s">
        <v>70</v>
      </c>
      <c r="G71" t="s">
        <v>34</v>
      </c>
      <c r="H71" s="10">
        <v>55270</v>
      </c>
      <c r="I71" t="str">
        <f t="shared" si="2"/>
        <v>Robert Miller</v>
      </c>
      <c r="J71" t="str">
        <f>VLOOKUP(F71,Lookup_Departments!$A:$B,2,FALSE)</f>
        <v>Human Resources</v>
      </c>
      <c r="K71">
        <f t="shared" ca="1" si="3"/>
        <v>8</v>
      </c>
      <c r="L71" t="str">
        <f>VLOOKUP(E71,Lookup_Performance!$A:$D,3,TRUE)</f>
        <v>Exceeding</v>
      </c>
      <c r="M71" s="11">
        <f>H71*VLOOKUP(E71,Lookup_Performance!$A:$D,4,TRUE())</f>
        <v>4421.6000000000004</v>
      </c>
    </row>
    <row r="72" spans="1:13">
      <c r="A72" t="s">
        <v>112</v>
      </c>
      <c r="B72" t="s">
        <v>113</v>
      </c>
      <c r="C72" t="s">
        <v>95</v>
      </c>
      <c r="D72" s="4">
        <v>42192</v>
      </c>
      <c r="E72" s="8">
        <v>97</v>
      </c>
      <c r="F72" t="s">
        <v>33</v>
      </c>
      <c r="G72" t="s">
        <v>34</v>
      </c>
      <c r="H72" s="10">
        <v>65235</v>
      </c>
      <c r="I72" t="str">
        <f t="shared" si="2"/>
        <v>William Garcia</v>
      </c>
      <c r="J72" t="str">
        <f>VLOOKUP(F72,Lookup_Departments!$A:$B,2,FALSE)</f>
        <v>Sales</v>
      </c>
      <c r="K72">
        <f t="shared" ca="1" si="3"/>
        <v>10</v>
      </c>
      <c r="L72" t="str">
        <f>VLOOKUP(E72,Lookup_Performance!$A:$D,3,TRUE)</f>
        <v>Outstanding</v>
      </c>
      <c r="M72" s="11">
        <f>H72*VLOOKUP(E72,Lookup_Performance!$A:$D,4,TRUE())</f>
        <v>7828.2</v>
      </c>
    </row>
    <row r="73" spans="1:13">
      <c r="A73" t="s">
        <v>114</v>
      </c>
      <c r="B73" t="s">
        <v>15</v>
      </c>
      <c r="C73" t="s">
        <v>13</v>
      </c>
      <c r="D73" s="4">
        <v>43283</v>
      </c>
      <c r="E73" s="8">
        <v>72</v>
      </c>
      <c r="F73" t="s">
        <v>33</v>
      </c>
      <c r="G73" t="s">
        <v>21</v>
      </c>
      <c r="H73" s="10">
        <v>87282</v>
      </c>
      <c r="I73" t="str">
        <f t="shared" si="2"/>
        <v>John Gonzalez</v>
      </c>
      <c r="J73" t="str">
        <f>VLOOKUP(F73,Lookup_Departments!$A:$B,2,FALSE)</f>
        <v>Sales</v>
      </c>
      <c r="K73">
        <f t="shared" ca="1" si="3"/>
        <v>8</v>
      </c>
      <c r="L73" t="str">
        <f>VLOOKUP(E73,Lookup_Performance!$A:$D,3,TRUE)</f>
        <v>Achieving</v>
      </c>
      <c r="M73" s="11">
        <f>H73*VLOOKUP(E73,Lookup_Performance!$A:$D,4,TRUE())</f>
        <v>4364.1000000000004</v>
      </c>
    </row>
    <row r="74" spans="1:13">
      <c r="A74" t="s">
        <v>115</v>
      </c>
      <c r="B74" t="s">
        <v>49</v>
      </c>
      <c r="C74" t="s">
        <v>13</v>
      </c>
      <c r="D74" s="4">
        <v>44819</v>
      </c>
      <c r="E74" s="8">
        <v>65</v>
      </c>
      <c r="F74" t="s">
        <v>33</v>
      </c>
      <c r="G74" t="s">
        <v>21</v>
      </c>
      <c r="H74" s="10">
        <v>87282</v>
      </c>
      <c r="I74" t="str">
        <f t="shared" si="2"/>
        <v>James Gonzalez</v>
      </c>
      <c r="J74" t="str">
        <f>VLOOKUP(F74,Lookup_Departments!$A:$B,2,FALSE)</f>
        <v>Sales</v>
      </c>
      <c r="K74">
        <f t="shared" ca="1" si="3"/>
        <v>3</v>
      </c>
      <c r="L74" t="str">
        <f>VLOOKUP(E74,Lookup_Performance!$A:$D,3,TRUE)</f>
        <v>Developing</v>
      </c>
      <c r="M74" s="11">
        <f>H74*VLOOKUP(E74,Lookup_Performance!$A:$D,4,TRUE())</f>
        <v>1745.64</v>
      </c>
    </row>
    <row r="75" spans="1:13">
      <c r="A75" t="s">
        <v>116</v>
      </c>
      <c r="B75" t="s">
        <v>39</v>
      </c>
      <c r="C75" t="s">
        <v>13</v>
      </c>
      <c r="D75" s="4">
        <v>42249</v>
      </c>
      <c r="E75" s="8">
        <v>67</v>
      </c>
      <c r="F75" t="s">
        <v>33</v>
      </c>
      <c r="G75" t="s">
        <v>34</v>
      </c>
      <c r="H75" s="10">
        <v>87282</v>
      </c>
      <c r="I75" t="str">
        <f t="shared" si="2"/>
        <v>Jane Gonzalez</v>
      </c>
      <c r="J75" t="str">
        <f>VLOOKUP(F75,Lookup_Departments!$A:$B,2,FALSE)</f>
        <v>Sales</v>
      </c>
      <c r="K75">
        <f t="shared" ca="1" si="3"/>
        <v>10</v>
      </c>
      <c r="L75" t="str">
        <f>VLOOKUP(E75,Lookup_Performance!$A:$D,3,TRUE)</f>
        <v>Developing</v>
      </c>
      <c r="M75" s="11">
        <f>H75*VLOOKUP(E75,Lookup_Performance!$A:$D,4,TRUE())</f>
        <v>1745.64</v>
      </c>
    </row>
    <row r="76" spans="1:13">
      <c r="A76" t="s">
        <v>117</v>
      </c>
      <c r="B76" t="s">
        <v>80</v>
      </c>
      <c r="C76" t="s">
        <v>26</v>
      </c>
      <c r="D76" s="4">
        <v>42654</v>
      </c>
      <c r="E76" s="8">
        <v>34</v>
      </c>
      <c r="F76" t="s">
        <v>24</v>
      </c>
      <c r="G76" t="s">
        <v>34</v>
      </c>
      <c r="H76" s="10">
        <v>48823</v>
      </c>
      <c r="I76" t="str">
        <f t="shared" si="2"/>
        <v>David Wilson</v>
      </c>
      <c r="J76" t="str">
        <f>VLOOKUP(F76,Lookup_Departments!$A:$B,2,FALSE)</f>
        <v>Operations</v>
      </c>
      <c r="K76">
        <f t="shared" ca="1" si="3"/>
        <v>9</v>
      </c>
      <c r="L76" t="str">
        <f>VLOOKUP(E76,Lookup_Performance!$A:$D,3,TRUE)</f>
        <v>Needs Improvement</v>
      </c>
      <c r="M76" s="11">
        <f>H76*VLOOKUP(E76,Lookup_Performance!$A:$D,4,TRUE())</f>
        <v>0</v>
      </c>
    </row>
    <row r="77" spans="1:13">
      <c r="A77" t="s">
        <v>118</v>
      </c>
      <c r="B77" t="s">
        <v>39</v>
      </c>
      <c r="C77" t="s">
        <v>13</v>
      </c>
      <c r="D77" s="4">
        <v>43575</v>
      </c>
      <c r="E77" s="8">
        <v>78</v>
      </c>
      <c r="F77" t="s">
        <v>17</v>
      </c>
      <c r="G77" t="s">
        <v>21</v>
      </c>
      <c r="H77" s="10">
        <v>45196</v>
      </c>
      <c r="I77" t="str">
        <f t="shared" si="2"/>
        <v>Jane Gonzalez</v>
      </c>
      <c r="J77" t="str">
        <f>VLOOKUP(F77,Lookup_Departments!$A:$B,2,FALSE)</f>
        <v>Finance</v>
      </c>
      <c r="K77">
        <f t="shared" ca="1" si="3"/>
        <v>7</v>
      </c>
      <c r="L77" t="str">
        <f>VLOOKUP(E77,Lookup_Performance!$A:$D,3,TRUE)</f>
        <v>Achieving</v>
      </c>
      <c r="M77" s="11">
        <f>H77*VLOOKUP(E77,Lookup_Performance!$A:$D,4,TRUE())</f>
        <v>2259.8000000000002</v>
      </c>
    </row>
    <row r="78" spans="1:13">
      <c r="A78" t="s">
        <v>119</v>
      </c>
      <c r="B78" t="s">
        <v>39</v>
      </c>
      <c r="C78" t="s">
        <v>30</v>
      </c>
      <c r="D78" s="4">
        <v>42785</v>
      </c>
      <c r="E78" s="8">
        <v>61</v>
      </c>
      <c r="F78" t="s">
        <v>7</v>
      </c>
      <c r="G78" t="s">
        <v>34</v>
      </c>
      <c r="H78" s="10">
        <v>86246</v>
      </c>
      <c r="I78" t="str">
        <f t="shared" si="2"/>
        <v>Jane Rodriguez</v>
      </c>
      <c r="J78" t="str">
        <f>VLOOKUP(F78,Lookup_Departments!$A:$B,2,FALSE)</f>
        <v>Information Technology</v>
      </c>
      <c r="K78">
        <f t="shared" ca="1" si="3"/>
        <v>9</v>
      </c>
      <c r="L78" t="str">
        <f>VLOOKUP(E78,Lookup_Performance!$A:$D,3,TRUE)</f>
        <v>Developing</v>
      </c>
      <c r="M78" s="11">
        <f>H78*VLOOKUP(E78,Lookup_Performance!$A:$D,4,TRUE())</f>
        <v>1724.92</v>
      </c>
    </row>
    <row r="79" spans="1:13">
      <c r="A79" t="s">
        <v>120</v>
      </c>
      <c r="B79" t="s">
        <v>5</v>
      </c>
      <c r="C79" t="s">
        <v>36</v>
      </c>
      <c r="D79" s="4">
        <v>44446</v>
      </c>
      <c r="E79" s="8">
        <v>74</v>
      </c>
      <c r="F79" t="s">
        <v>33</v>
      </c>
      <c r="G79" t="s">
        <v>21</v>
      </c>
      <c r="H79" s="10">
        <v>70359</v>
      </c>
      <c r="I79" t="str">
        <f t="shared" si="2"/>
        <v>Emily Miller</v>
      </c>
      <c r="J79" t="str">
        <f>VLOOKUP(F79,Lookup_Departments!$A:$B,2,FALSE)</f>
        <v>Sales</v>
      </c>
      <c r="K79">
        <f t="shared" ca="1" si="3"/>
        <v>4</v>
      </c>
      <c r="L79" t="str">
        <f>VLOOKUP(E79,Lookup_Performance!$A:$D,3,TRUE)</f>
        <v>Achieving</v>
      </c>
      <c r="M79" s="11">
        <f>H79*VLOOKUP(E79,Lookup_Performance!$A:$D,4,TRUE())</f>
        <v>3517.9500000000003</v>
      </c>
    </row>
    <row r="80" spans="1:13">
      <c r="A80" t="s">
        <v>121</v>
      </c>
      <c r="B80" t="s">
        <v>68</v>
      </c>
      <c r="C80" t="s">
        <v>36</v>
      </c>
      <c r="D80" s="4">
        <v>43599</v>
      </c>
      <c r="E80" s="8">
        <v>94</v>
      </c>
      <c r="F80" t="s">
        <v>11</v>
      </c>
      <c r="G80" t="s">
        <v>34</v>
      </c>
      <c r="H80" s="10">
        <v>85508</v>
      </c>
      <c r="I80" t="str">
        <f t="shared" si="2"/>
        <v>Sarah Miller</v>
      </c>
      <c r="J80" t="str">
        <f>VLOOKUP(F80,Lookup_Departments!$A:$B,2,FALSE)</f>
        <v>Marketing</v>
      </c>
      <c r="K80">
        <f t="shared" ca="1" si="3"/>
        <v>7</v>
      </c>
      <c r="L80" t="str">
        <f>VLOOKUP(E80,Lookup_Performance!$A:$D,3,TRUE)</f>
        <v>Exceeding</v>
      </c>
      <c r="M80" s="11">
        <f>H80*VLOOKUP(E80,Lookup_Performance!$A:$D,4,TRUE())</f>
        <v>6840.64</v>
      </c>
    </row>
    <row r="81" spans="1:13">
      <c r="A81" t="s">
        <v>122</v>
      </c>
      <c r="B81" t="s">
        <v>28</v>
      </c>
      <c r="C81" t="s">
        <v>95</v>
      </c>
      <c r="D81" s="4">
        <v>42330</v>
      </c>
      <c r="E81" s="8">
        <v>70</v>
      </c>
      <c r="F81" t="s">
        <v>24</v>
      </c>
      <c r="G81" t="s">
        <v>34</v>
      </c>
      <c r="H81" s="10">
        <v>86480</v>
      </c>
      <c r="I81" t="str">
        <f t="shared" si="2"/>
        <v>Jessica Garcia</v>
      </c>
      <c r="J81" t="str">
        <f>VLOOKUP(F81,Lookup_Departments!$A:$B,2,FALSE)</f>
        <v>Operations</v>
      </c>
      <c r="K81">
        <f t="shared" ca="1" si="3"/>
        <v>10</v>
      </c>
      <c r="L81" t="str">
        <f>VLOOKUP(E81,Lookup_Performance!$A:$D,3,TRUE)</f>
        <v>Achieving</v>
      </c>
      <c r="M81" s="11">
        <f>H81*VLOOKUP(E81,Lookup_Performance!$A:$D,4,TRUE())</f>
        <v>4324</v>
      </c>
    </row>
    <row r="82" spans="1:13">
      <c r="A82" t="s">
        <v>123</v>
      </c>
      <c r="B82" t="s">
        <v>9</v>
      </c>
      <c r="C82" t="s">
        <v>20</v>
      </c>
      <c r="D82" s="4">
        <v>43372</v>
      </c>
      <c r="E82" s="8">
        <v>75</v>
      </c>
      <c r="F82" t="s">
        <v>70</v>
      </c>
      <c r="G82" t="s">
        <v>34</v>
      </c>
      <c r="H82" s="10">
        <v>47694</v>
      </c>
      <c r="I82" t="str">
        <f t="shared" si="2"/>
        <v>Richard Smith</v>
      </c>
      <c r="J82" t="str">
        <f>VLOOKUP(F82,Lookup_Departments!$A:$B,2,FALSE)</f>
        <v>Human Resources</v>
      </c>
      <c r="K82">
        <f t="shared" ca="1" si="3"/>
        <v>7</v>
      </c>
      <c r="L82" t="str">
        <f>VLOOKUP(E82,Lookup_Performance!$A:$D,3,TRUE)</f>
        <v>Achieving</v>
      </c>
      <c r="M82" s="11">
        <f>H82*VLOOKUP(E82,Lookup_Performance!$A:$D,4,TRUE())</f>
        <v>2384.7000000000003</v>
      </c>
    </row>
    <row r="83" spans="1:13">
      <c r="A83" t="s">
        <v>124</v>
      </c>
      <c r="B83" t="s">
        <v>75</v>
      </c>
      <c r="C83" t="s">
        <v>26</v>
      </c>
      <c r="D83" s="4">
        <v>45171</v>
      </c>
      <c r="E83" s="8">
        <v>81</v>
      </c>
      <c r="F83" t="s">
        <v>7</v>
      </c>
      <c r="G83" t="s">
        <v>82</v>
      </c>
      <c r="H83" s="10">
        <v>83724</v>
      </c>
      <c r="I83" t="str">
        <f t="shared" si="2"/>
        <v>Melissa Wilson</v>
      </c>
      <c r="J83" t="str">
        <f>VLOOKUP(F83,Lookup_Departments!$A:$B,2,FALSE)</f>
        <v>Information Technology</v>
      </c>
      <c r="K83">
        <f t="shared" ca="1" si="3"/>
        <v>2</v>
      </c>
      <c r="L83" t="str">
        <f>VLOOKUP(E83,Lookup_Performance!$A:$D,3,TRUE)</f>
        <v>Achieving</v>
      </c>
      <c r="M83" s="11">
        <f>H83*VLOOKUP(E83,Lookup_Performance!$A:$D,4,TRUE())</f>
        <v>4186.2</v>
      </c>
    </row>
    <row r="84" spans="1:13">
      <c r="A84" t="s">
        <v>125</v>
      </c>
      <c r="B84" t="s">
        <v>19</v>
      </c>
      <c r="C84" t="s">
        <v>40</v>
      </c>
      <c r="D84" s="4">
        <v>44759</v>
      </c>
      <c r="E84" s="8">
        <v>61</v>
      </c>
      <c r="F84" t="s">
        <v>17</v>
      </c>
      <c r="G84" t="s">
        <v>34</v>
      </c>
      <c r="H84" s="10">
        <v>98299</v>
      </c>
      <c r="I84" t="str">
        <f t="shared" si="2"/>
        <v>Thomas Williams</v>
      </c>
      <c r="J84" t="str">
        <f>VLOOKUP(F84,Lookup_Departments!$A:$B,2,FALSE)</f>
        <v>Finance</v>
      </c>
      <c r="K84">
        <f t="shared" ca="1" si="3"/>
        <v>3</v>
      </c>
      <c r="L84" t="str">
        <f>VLOOKUP(E84,Lookup_Performance!$A:$D,3,TRUE)</f>
        <v>Developing</v>
      </c>
      <c r="M84" s="11">
        <f>H84*VLOOKUP(E84,Lookup_Performance!$A:$D,4,TRUE())</f>
        <v>1965.98</v>
      </c>
    </row>
    <row r="85" spans="1:13">
      <c r="A85" t="s">
        <v>126</v>
      </c>
      <c r="B85" t="s">
        <v>80</v>
      </c>
      <c r="C85" t="s">
        <v>40</v>
      </c>
      <c r="D85" s="4">
        <v>44234</v>
      </c>
      <c r="E85" s="8">
        <v>68</v>
      </c>
      <c r="F85" t="s">
        <v>17</v>
      </c>
      <c r="G85" t="s">
        <v>34</v>
      </c>
      <c r="H85" s="10">
        <v>87938</v>
      </c>
      <c r="I85" t="str">
        <f t="shared" si="2"/>
        <v>David Williams</v>
      </c>
      <c r="J85" t="str">
        <f>VLOOKUP(F85,Lookup_Departments!$A:$B,2,FALSE)</f>
        <v>Finance</v>
      </c>
      <c r="K85">
        <f t="shared" ca="1" si="3"/>
        <v>5</v>
      </c>
      <c r="L85" t="str">
        <f>VLOOKUP(E85,Lookup_Performance!$A:$D,3,TRUE)</f>
        <v>Developing</v>
      </c>
      <c r="M85" s="11">
        <f>H85*VLOOKUP(E85,Lookup_Performance!$A:$D,4,TRUE())</f>
        <v>1758.76</v>
      </c>
    </row>
    <row r="86" spans="1:13">
      <c r="A86" t="s">
        <v>127</v>
      </c>
      <c r="B86" t="s">
        <v>15</v>
      </c>
      <c r="C86" t="s">
        <v>23</v>
      </c>
      <c r="D86" s="4">
        <v>45203</v>
      </c>
      <c r="E86" s="8">
        <v>70</v>
      </c>
      <c r="F86" t="s">
        <v>7</v>
      </c>
      <c r="G86" t="s">
        <v>34</v>
      </c>
      <c r="H86" s="10">
        <v>52287</v>
      </c>
      <c r="I86" t="str">
        <f t="shared" si="2"/>
        <v>John Johnson</v>
      </c>
      <c r="J86" t="str">
        <f>VLOOKUP(F86,Lookup_Departments!$A:$B,2,FALSE)</f>
        <v>Information Technology</v>
      </c>
      <c r="K86">
        <f t="shared" ca="1" si="3"/>
        <v>2</v>
      </c>
      <c r="L86" t="str">
        <f>VLOOKUP(E86,Lookup_Performance!$A:$D,3,TRUE)</f>
        <v>Achieving</v>
      </c>
      <c r="M86" s="11">
        <f>H86*VLOOKUP(E86,Lookup_Performance!$A:$D,4,TRUE())</f>
        <v>2614.3500000000004</v>
      </c>
    </row>
    <row r="87" spans="1:13">
      <c r="A87" t="s">
        <v>128</v>
      </c>
      <c r="B87" t="s">
        <v>9</v>
      </c>
      <c r="C87" t="s">
        <v>13</v>
      </c>
      <c r="D87" s="4">
        <v>44073</v>
      </c>
      <c r="E87" s="8">
        <v>98</v>
      </c>
      <c r="F87" t="s">
        <v>7</v>
      </c>
      <c r="G87" t="s">
        <v>34</v>
      </c>
      <c r="H87" s="10">
        <v>82633</v>
      </c>
      <c r="I87" t="str">
        <f t="shared" si="2"/>
        <v>Richard Gonzalez</v>
      </c>
      <c r="J87" t="str">
        <f>VLOOKUP(F87,Lookup_Departments!$A:$B,2,FALSE)</f>
        <v>Information Technology</v>
      </c>
      <c r="K87">
        <f t="shared" ca="1" si="3"/>
        <v>5</v>
      </c>
      <c r="L87" t="str">
        <f>VLOOKUP(E87,Lookup_Performance!$A:$D,3,TRUE)</f>
        <v>Outstanding</v>
      </c>
      <c r="M87" s="11">
        <f>H87*VLOOKUP(E87,Lookup_Performance!$A:$D,4,TRUE())</f>
        <v>9915.9599999999991</v>
      </c>
    </row>
    <row r="88" spans="1:13">
      <c r="A88" t="s">
        <v>129</v>
      </c>
      <c r="B88" t="s">
        <v>75</v>
      </c>
      <c r="C88" t="s">
        <v>97</v>
      </c>
      <c r="D88" s="4">
        <v>44422</v>
      </c>
      <c r="E88" s="8">
        <v>34</v>
      </c>
      <c r="F88" t="s">
        <v>24</v>
      </c>
      <c r="G88" t="s">
        <v>34</v>
      </c>
      <c r="H88" s="10">
        <v>46508</v>
      </c>
      <c r="I88" t="str">
        <f t="shared" si="2"/>
        <v>Melissa Anderson</v>
      </c>
      <c r="J88" t="str">
        <f>VLOOKUP(F88,Lookup_Departments!$A:$B,2,FALSE)</f>
        <v>Operations</v>
      </c>
      <c r="K88">
        <f t="shared" ca="1" si="3"/>
        <v>4</v>
      </c>
      <c r="L88" t="str">
        <f>VLOOKUP(E88,Lookup_Performance!$A:$D,3,TRUE)</f>
        <v>Needs Improvement</v>
      </c>
      <c r="M88" s="11">
        <f>H88*VLOOKUP(E88,Lookup_Performance!$A:$D,4,TRUE())</f>
        <v>0</v>
      </c>
    </row>
    <row r="89" spans="1:13">
      <c r="A89" t="s">
        <v>130</v>
      </c>
      <c r="B89" t="s">
        <v>5</v>
      </c>
      <c r="C89" t="s">
        <v>13</v>
      </c>
      <c r="D89" s="4">
        <v>43796</v>
      </c>
      <c r="E89" s="8">
        <v>93</v>
      </c>
      <c r="F89" t="s">
        <v>70</v>
      </c>
      <c r="G89" t="s">
        <v>34</v>
      </c>
      <c r="H89" s="10">
        <v>86232</v>
      </c>
      <c r="I89" t="str">
        <f t="shared" si="2"/>
        <v>Emily Gonzalez</v>
      </c>
      <c r="J89" t="str">
        <f>VLOOKUP(F89,Lookup_Departments!$A:$B,2,FALSE)</f>
        <v>Human Resources</v>
      </c>
      <c r="K89">
        <f t="shared" ca="1" si="3"/>
        <v>6</v>
      </c>
      <c r="L89" t="str">
        <f>VLOOKUP(E89,Lookup_Performance!$A:$D,3,TRUE)</f>
        <v>Exceeding</v>
      </c>
      <c r="M89" s="11">
        <f>H89*VLOOKUP(E89,Lookup_Performance!$A:$D,4,TRUE())</f>
        <v>6898.56</v>
      </c>
    </row>
    <row r="90" spans="1:13">
      <c r="A90" t="s">
        <v>131</v>
      </c>
      <c r="B90" t="s">
        <v>39</v>
      </c>
      <c r="C90" t="s">
        <v>47</v>
      </c>
      <c r="D90" s="4">
        <v>42880</v>
      </c>
      <c r="E90" s="8">
        <v>48</v>
      </c>
      <c r="F90" t="s">
        <v>7</v>
      </c>
      <c r="G90" t="s">
        <v>34</v>
      </c>
      <c r="H90" s="10">
        <v>77545</v>
      </c>
      <c r="I90" t="str">
        <f t="shared" si="2"/>
        <v>Jane Davis</v>
      </c>
      <c r="J90" t="str">
        <f>VLOOKUP(F90,Lookup_Departments!$A:$B,2,FALSE)</f>
        <v>Information Technology</v>
      </c>
      <c r="K90">
        <f t="shared" ca="1" si="3"/>
        <v>9</v>
      </c>
      <c r="L90" t="str">
        <f>VLOOKUP(E90,Lookup_Performance!$A:$D,3,TRUE)</f>
        <v>Needs Improvement</v>
      </c>
      <c r="M90" s="11">
        <f>H90*VLOOKUP(E90,Lookup_Performance!$A:$D,4,TRUE())</f>
        <v>0</v>
      </c>
    </row>
    <row r="91" spans="1:13">
      <c r="A91" t="s">
        <v>132</v>
      </c>
      <c r="B91" t="s">
        <v>113</v>
      </c>
      <c r="C91" t="s">
        <v>13</v>
      </c>
      <c r="D91" s="4">
        <v>43436</v>
      </c>
      <c r="E91" s="8">
        <v>90</v>
      </c>
      <c r="F91" t="s">
        <v>24</v>
      </c>
      <c r="G91" t="s">
        <v>34</v>
      </c>
      <c r="H91" s="10">
        <v>68683</v>
      </c>
      <c r="I91" t="str">
        <f t="shared" si="2"/>
        <v>William Gonzalez</v>
      </c>
      <c r="J91" t="str">
        <f>VLOOKUP(F91,Lookup_Departments!$A:$B,2,FALSE)</f>
        <v>Operations</v>
      </c>
      <c r="K91">
        <f t="shared" ca="1" si="3"/>
        <v>7</v>
      </c>
      <c r="L91" t="str">
        <f>VLOOKUP(E91,Lookup_Performance!$A:$D,3,TRUE)</f>
        <v>Exceeding</v>
      </c>
      <c r="M91" s="11">
        <f>H91*VLOOKUP(E91,Lookup_Performance!$A:$D,4,TRUE())</f>
        <v>5494.64</v>
      </c>
    </row>
    <row r="92" spans="1:13">
      <c r="A92" t="s">
        <v>133</v>
      </c>
      <c r="B92" t="s">
        <v>19</v>
      </c>
      <c r="C92" t="s">
        <v>44</v>
      </c>
      <c r="D92" s="4">
        <v>43639</v>
      </c>
      <c r="E92" s="8">
        <v>57</v>
      </c>
      <c r="F92" t="s">
        <v>17</v>
      </c>
      <c r="G92" t="s">
        <v>21</v>
      </c>
      <c r="H92" s="10">
        <v>83932</v>
      </c>
      <c r="I92" t="str">
        <f t="shared" si="2"/>
        <v>Thomas Jones</v>
      </c>
      <c r="J92" t="str">
        <f>VLOOKUP(F92,Lookup_Departments!$A:$B,2,FALSE)</f>
        <v>Finance</v>
      </c>
      <c r="K92">
        <f t="shared" ca="1" si="3"/>
        <v>7</v>
      </c>
      <c r="L92" t="str">
        <f>VLOOKUP(E92,Lookup_Performance!$A:$D,3,TRUE)</f>
        <v>Developing</v>
      </c>
      <c r="M92" s="11">
        <f>H92*VLOOKUP(E92,Lookup_Performance!$A:$D,4,TRUE())</f>
        <v>1678.64</v>
      </c>
    </row>
    <row r="93" spans="1:13">
      <c r="A93" t="s">
        <v>134</v>
      </c>
      <c r="B93" t="s">
        <v>28</v>
      </c>
      <c r="C93" t="s">
        <v>97</v>
      </c>
      <c r="D93" s="4">
        <v>42304</v>
      </c>
      <c r="E93" s="8">
        <v>79</v>
      </c>
      <c r="F93" t="s">
        <v>70</v>
      </c>
      <c r="G93" t="s">
        <v>34</v>
      </c>
      <c r="H93" s="10">
        <v>56073</v>
      </c>
      <c r="I93" t="str">
        <f t="shared" si="2"/>
        <v>Jessica Anderson</v>
      </c>
      <c r="J93" t="str">
        <f>VLOOKUP(F93,Lookup_Departments!$A:$B,2,FALSE)</f>
        <v>Human Resources</v>
      </c>
      <c r="K93">
        <f t="shared" ca="1" si="3"/>
        <v>10</v>
      </c>
      <c r="L93" t="str">
        <f>VLOOKUP(E93,Lookup_Performance!$A:$D,3,TRUE)</f>
        <v>Achieving</v>
      </c>
      <c r="M93" s="11">
        <f>H93*VLOOKUP(E93,Lookup_Performance!$A:$D,4,TRUE())</f>
        <v>2803.65</v>
      </c>
    </row>
    <row r="94" spans="1:13">
      <c r="A94" t="s">
        <v>135</v>
      </c>
      <c r="B94" t="s">
        <v>75</v>
      </c>
      <c r="C94" t="s">
        <v>23</v>
      </c>
      <c r="D94" s="4">
        <v>43270</v>
      </c>
      <c r="E94" s="8">
        <v>66</v>
      </c>
      <c r="F94" t="s">
        <v>7</v>
      </c>
      <c r="G94" t="s">
        <v>34</v>
      </c>
      <c r="H94" s="10">
        <v>88056</v>
      </c>
      <c r="I94" t="str">
        <f t="shared" si="2"/>
        <v>Melissa Johnson</v>
      </c>
      <c r="J94" t="str">
        <f>VLOOKUP(F94,Lookup_Departments!$A:$B,2,FALSE)</f>
        <v>Information Technology</v>
      </c>
      <c r="K94">
        <f t="shared" ca="1" si="3"/>
        <v>8</v>
      </c>
      <c r="L94" t="str">
        <f>VLOOKUP(E94,Lookup_Performance!$A:$D,3,TRUE)</f>
        <v>Developing</v>
      </c>
      <c r="M94" s="11">
        <f>H94*VLOOKUP(E94,Lookup_Performance!$A:$D,4,TRUE())</f>
        <v>1761.1200000000001</v>
      </c>
    </row>
    <row r="95" spans="1:13">
      <c r="A95" t="s">
        <v>136</v>
      </c>
      <c r="B95" t="s">
        <v>19</v>
      </c>
      <c r="C95" t="s">
        <v>36</v>
      </c>
      <c r="D95" s="4">
        <v>43112</v>
      </c>
      <c r="E95" s="8">
        <v>84</v>
      </c>
      <c r="F95" t="s">
        <v>24</v>
      </c>
      <c r="G95" t="s">
        <v>21</v>
      </c>
      <c r="H95" s="10">
        <v>67414</v>
      </c>
      <c r="I95" t="str">
        <f t="shared" si="2"/>
        <v>Thomas Miller</v>
      </c>
      <c r="J95" t="str">
        <f>VLOOKUP(F95,Lookup_Departments!$A:$B,2,FALSE)</f>
        <v>Operations</v>
      </c>
      <c r="K95">
        <f t="shared" ca="1" si="3"/>
        <v>8</v>
      </c>
      <c r="L95" t="str">
        <f>VLOOKUP(E95,Lookup_Performance!$A:$D,3,TRUE)</f>
        <v>Achieving</v>
      </c>
      <c r="M95" s="11">
        <f>H95*VLOOKUP(E95,Lookup_Performance!$A:$D,4,TRUE())</f>
        <v>3370.7000000000003</v>
      </c>
    </row>
    <row r="96" spans="1:13">
      <c r="A96" t="s">
        <v>137</v>
      </c>
      <c r="B96" t="s">
        <v>113</v>
      </c>
      <c r="C96" t="s">
        <v>13</v>
      </c>
      <c r="D96" s="4">
        <v>42008</v>
      </c>
      <c r="E96" s="8">
        <v>61</v>
      </c>
      <c r="F96" t="s">
        <v>33</v>
      </c>
      <c r="G96" t="s">
        <v>34</v>
      </c>
      <c r="H96" s="10">
        <v>115288</v>
      </c>
      <c r="I96" t="str">
        <f t="shared" si="2"/>
        <v>William Gonzalez</v>
      </c>
      <c r="J96" t="str">
        <f>VLOOKUP(F96,Lookup_Departments!$A:$B,2,FALSE)</f>
        <v>Sales</v>
      </c>
      <c r="K96">
        <f t="shared" ca="1" si="3"/>
        <v>11</v>
      </c>
      <c r="L96" t="str">
        <f>VLOOKUP(E96,Lookup_Performance!$A:$D,3,TRUE)</f>
        <v>Developing</v>
      </c>
      <c r="M96" s="11">
        <f>H96*VLOOKUP(E96,Lookup_Performance!$A:$D,4,TRUE())</f>
        <v>2305.7600000000002</v>
      </c>
    </row>
    <row r="97" spans="1:13">
      <c r="A97" t="s">
        <v>138</v>
      </c>
      <c r="B97" t="s">
        <v>212</v>
      </c>
      <c r="C97" t="s">
        <v>20</v>
      </c>
      <c r="D97" s="4">
        <v>43439</v>
      </c>
      <c r="E97" s="8">
        <v>58</v>
      </c>
      <c r="F97" t="s">
        <v>33</v>
      </c>
      <c r="G97" t="s">
        <v>34</v>
      </c>
      <c r="H97" s="10">
        <v>80140</v>
      </c>
      <c r="I97" t="str">
        <f t="shared" si="2"/>
        <v>unknown Smith</v>
      </c>
      <c r="J97" t="str">
        <f>VLOOKUP(F97,Lookup_Departments!$A:$B,2,FALSE)</f>
        <v>Sales</v>
      </c>
      <c r="K97">
        <f t="shared" ca="1" si="3"/>
        <v>7</v>
      </c>
      <c r="L97" t="str">
        <f>VLOOKUP(E97,Lookup_Performance!$A:$D,3,TRUE)</f>
        <v>Developing</v>
      </c>
      <c r="M97" s="11">
        <f>H97*VLOOKUP(E97,Lookup_Performance!$A:$D,4,TRUE())</f>
        <v>1602.8</v>
      </c>
    </row>
    <row r="98" spans="1:13">
      <c r="A98" t="s">
        <v>139</v>
      </c>
      <c r="B98" t="s">
        <v>15</v>
      </c>
      <c r="C98" t="s">
        <v>23</v>
      </c>
      <c r="D98" s="4">
        <v>44482</v>
      </c>
      <c r="E98" s="8">
        <v>69</v>
      </c>
      <c r="F98" t="s">
        <v>7</v>
      </c>
      <c r="G98" t="s">
        <v>34</v>
      </c>
      <c r="H98" s="10">
        <v>73087</v>
      </c>
      <c r="I98" t="str">
        <f t="shared" si="2"/>
        <v>John Johnson</v>
      </c>
      <c r="J98" t="str">
        <f>VLOOKUP(F98,Lookup_Departments!$A:$B,2,FALSE)</f>
        <v>Information Technology</v>
      </c>
      <c r="K98">
        <f t="shared" ca="1" si="3"/>
        <v>4</v>
      </c>
      <c r="L98" t="str">
        <f>VLOOKUP(E98,Lookup_Performance!$A:$D,3,TRUE)</f>
        <v>Developing</v>
      </c>
      <c r="M98" s="11">
        <f>H98*VLOOKUP(E98,Lookup_Performance!$A:$D,4,TRUE())</f>
        <v>1461.74</v>
      </c>
    </row>
    <row r="99" spans="1:13">
      <c r="A99" t="s">
        <v>140</v>
      </c>
      <c r="B99" t="s">
        <v>39</v>
      </c>
      <c r="C99" t="s">
        <v>23</v>
      </c>
      <c r="D99" s="4">
        <v>44081</v>
      </c>
      <c r="E99" s="8">
        <v>34</v>
      </c>
      <c r="F99" t="s">
        <v>33</v>
      </c>
      <c r="G99" t="s">
        <v>34</v>
      </c>
      <c r="H99" s="10">
        <v>95292</v>
      </c>
      <c r="I99" t="str">
        <f t="shared" si="2"/>
        <v>Jane Johnson</v>
      </c>
      <c r="J99" t="str">
        <f>VLOOKUP(F99,Lookup_Departments!$A:$B,2,FALSE)</f>
        <v>Sales</v>
      </c>
      <c r="K99">
        <f t="shared" ca="1" si="3"/>
        <v>5</v>
      </c>
      <c r="L99" t="str">
        <f>VLOOKUP(E99,Lookup_Performance!$A:$D,3,TRUE)</f>
        <v>Needs Improvement</v>
      </c>
      <c r="M99" s="11">
        <f>H99*VLOOKUP(E99,Lookup_Performance!$A:$D,4,TRUE())</f>
        <v>0</v>
      </c>
    </row>
    <row r="100" spans="1:13">
      <c r="A100" t="s">
        <v>141</v>
      </c>
      <c r="B100" t="s">
        <v>15</v>
      </c>
      <c r="C100" t="s">
        <v>44</v>
      </c>
      <c r="D100" s="4">
        <v>43532</v>
      </c>
      <c r="E100" s="8">
        <v>33</v>
      </c>
      <c r="F100" t="s">
        <v>7</v>
      </c>
      <c r="G100" t="s">
        <v>34</v>
      </c>
      <c r="H100" s="10">
        <v>80014</v>
      </c>
      <c r="I100" t="str">
        <f t="shared" si="2"/>
        <v>John Jones</v>
      </c>
      <c r="J100" t="str">
        <f>VLOOKUP(F100,Lookup_Departments!$A:$B,2,FALSE)</f>
        <v>Information Technology</v>
      </c>
      <c r="K100">
        <f t="shared" ca="1" si="3"/>
        <v>7</v>
      </c>
      <c r="L100" t="str">
        <f>VLOOKUP(E100,Lookup_Performance!$A:$D,3,TRUE)</f>
        <v>Needs Improvement</v>
      </c>
      <c r="M100" s="11">
        <f>H100*VLOOKUP(E100,Lookup_Performance!$A:$D,4,TRUE())</f>
        <v>0</v>
      </c>
    </row>
    <row r="101" spans="1:13">
      <c r="A101" t="s">
        <v>142</v>
      </c>
      <c r="B101" t="s">
        <v>39</v>
      </c>
      <c r="C101" t="s">
        <v>52</v>
      </c>
      <c r="D101" s="4">
        <v>42074</v>
      </c>
      <c r="E101" s="8">
        <v>84</v>
      </c>
      <c r="F101" t="s">
        <v>11</v>
      </c>
      <c r="G101" t="s">
        <v>21</v>
      </c>
      <c r="H101" s="10">
        <v>101750</v>
      </c>
      <c r="I101" t="str">
        <f t="shared" si="2"/>
        <v>Jane Lopez</v>
      </c>
      <c r="J101" t="str">
        <f>VLOOKUP(F101,Lookup_Departments!$A:$B,2,FALSE)</f>
        <v>Marketing</v>
      </c>
      <c r="K101">
        <f t="shared" ca="1" si="3"/>
        <v>11</v>
      </c>
      <c r="L101" t="str">
        <f>VLOOKUP(E101,Lookup_Performance!$A:$D,3,TRUE)</f>
        <v>Achieving</v>
      </c>
      <c r="M101" s="11">
        <f>H101*VLOOKUP(E101,Lookup_Performance!$A:$D,4,TRUE())</f>
        <v>5087.5</v>
      </c>
    </row>
    <row r="102" spans="1:13">
      <c r="A102" t="s">
        <v>143</v>
      </c>
      <c r="B102" t="s">
        <v>75</v>
      </c>
      <c r="C102" t="s">
        <v>13</v>
      </c>
      <c r="D102" s="4">
        <v>42785</v>
      </c>
      <c r="E102" s="8">
        <v>79</v>
      </c>
      <c r="F102" t="s">
        <v>11</v>
      </c>
      <c r="G102" t="s">
        <v>34</v>
      </c>
      <c r="H102" s="10">
        <v>82992</v>
      </c>
      <c r="I102" t="str">
        <f t="shared" si="2"/>
        <v>Melissa Gonzalez</v>
      </c>
      <c r="J102" t="str">
        <f>VLOOKUP(F102,Lookup_Departments!$A:$B,2,FALSE)</f>
        <v>Marketing</v>
      </c>
      <c r="K102">
        <f t="shared" ca="1" si="3"/>
        <v>9</v>
      </c>
      <c r="L102" t="str">
        <f>VLOOKUP(E102,Lookup_Performance!$A:$D,3,TRUE)</f>
        <v>Achieving</v>
      </c>
      <c r="M102" s="11">
        <f>H102*VLOOKUP(E102,Lookup_Performance!$A:$D,4,TRUE())</f>
        <v>4149.6000000000004</v>
      </c>
    </row>
    <row r="103" spans="1:13">
      <c r="A103" t="s">
        <v>144</v>
      </c>
      <c r="B103" t="s">
        <v>113</v>
      </c>
      <c r="C103" t="s">
        <v>47</v>
      </c>
      <c r="D103" s="4">
        <v>45055</v>
      </c>
      <c r="E103" s="8">
        <v>51</v>
      </c>
      <c r="F103" t="s">
        <v>7</v>
      </c>
      <c r="G103" t="s">
        <v>34</v>
      </c>
      <c r="H103" s="10">
        <v>49942</v>
      </c>
      <c r="I103" t="str">
        <f t="shared" si="2"/>
        <v>William Davis</v>
      </c>
      <c r="J103" t="str">
        <f>VLOOKUP(F103,Lookup_Departments!$A:$B,2,FALSE)</f>
        <v>Information Technology</v>
      </c>
      <c r="K103">
        <f t="shared" ca="1" si="3"/>
        <v>3</v>
      </c>
      <c r="L103" t="str">
        <f>VLOOKUP(E103,Lookup_Performance!$A:$D,3,TRUE)</f>
        <v>Developing</v>
      </c>
      <c r="M103" s="11">
        <f>H103*VLOOKUP(E103,Lookup_Performance!$A:$D,4,TRUE())</f>
        <v>998.84</v>
      </c>
    </row>
    <row r="104" spans="1:13">
      <c r="A104" t="s">
        <v>145</v>
      </c>
      <c r="B104" t="s">
        <v>15</v>
      </c>
      <c r="C104" t="s">
        <v>20</v>
      </c>
      <c r="D104" s="4">
        <v>43122</v>
      </c>
      <c r="E104" s="8">
        <v>58</v>
      </c>
      <c r="F104" t="s">
        <v>24</v>
      </c>
      <c r="G104" t="s">
        <v>34</v>
      </c>
      <c r="H104" s="10">
        <v>89060</v>
      </c>
      <c r="I104" t="str">
        <f t="shared" si="2"/>
        <v>John Smith</v>
      </c>
      <c r="J104" t="str">
        <f>VLOOKUP(F104,Lookup_Departments!$A:$B,2,FALSE)</f>
        <v>Operations</v>
      </c>
      <c r="K104">
        <f t="shared" ca="1" si="3"/>
        <v>8</v>
      </c>
      <c r="L104" t="str">
        <f>VLOOKUP(E104,Lookup_Performance!$A:$D,3,TRUE)</f>
        <v>Developing</v>
      </c>
      <c r="M104" s="11">
        <f>H104*VLOOKUP(E104,Lookup_Performance!$A:$D,4,TRUE())</f>
        <v>1781.2</v>
      </c>
    </row>
    <row r="105" spans="1:13">
      <c r="A105" t="s">
        <v>146</v>
      </c>
      <c r="B105" t="s">
        <v>49</v>
      </c>
      <c r="C105" t="s">
        <v>13</v>
      </c>
      <c r="D105" s="4">
        <v>43879</v>
      </c>
      <c r="E105" s="8">
        <v>98</v>
      </c>
      <c r="F105" t="s">
        <v>7</v>
      </c>
      <c r="G105" t="s">
        <v>34</v>
      </c>
      <c r="H105" s="10">
        <v>53786</v>
      </c>
      <c r="I105" t="str">
        <f t="shared" si="2"/>
        <v>James Gonzalez</v>
      </c>
      <c r="J105" t="str">
        <f>VLOOKUP(F105,Lookup_Departments!$A:$B,2,FALSE)</f>
        <v>Information Technology</v>
      </c>
      <c r="K105">
        <f t="shared" ca="1" si="3"/>
        <v>6</v>
      </c>
      <c r="L105" t="str">
        <f>VLOOKUP(E105,Lookup_Performance!$A:$D,3,TRUE)</f>
        <v>Outstanding</v>
      </c>
      <c r="M105" s="11">
        <f>H105*VLOOKUP(E105,Lookup_Performance!$A:$D,4,TRUE())</f>
        <v>6454.32</v>
      </c>
    </row>
    <row r="106" spans="1:13">
      <c r="A106" t="s">
        <v>147</v>
      </c>
      <c r="B106" t="s">
        <v>5</v>
      </c>
      <c r="C106" t="s">
        <v>23</v>
      </c>
      <c r="D106" s="4">
        <v>42512</v>
      </c>
      <c r="E106" s="8">
        <v>70</v>
      </c>
      <c r="F106" t="s">
        <v>24</v>
      </c>
      <c r="G106" t="s">
        <v>34</v>
      </c>
      <c r="H106" s="10">
        <v>81167</v>
      </c>
      <c r="I106" t="str">
        <f t="shared" si="2"/>
        <v>Emily Johnson</v>
      </c>
      <c r="J106" t="str">
        <f>VLOOKUP(F106,Lookup_Departments!$A:$B,2,FALSE)</f>
        <v>Operations</v>
      </c>
      <c r="K106">
        <f t="shared" ca="1" si="3"/>
        <v>10</v>
      </c>
      <c r="L106" t="str">
        <f>VLOOKUP(E106,Lookup_Performance!$A:$D,3,TRUE)</f>
        <v>Achieving</v>
      </c>
      <c r="M106" s="11">
        <f>H106*VLOOKUP(E106,Lookup_Performance!$A:$D,4,TRUE())</f>
        <v>4058.3500000000004</v>
      </c>
    </row>
    <row r="107" spans="1:13">
      <c r="A107" t="s">
        <v>148</v>
      </c>
      <c r="B107" t="s">
        <v>113</v>
      </c>
      <c r="C107" t="s">
        <v>40</v>
      </c>
      <c r="D107" s="4">
        <v>44349</v>
      </c>
      <c r="E107" s="8">
        <v>40</v>
      </c>
      <c r="F107" t="s">
        <v>11</v>
      </c>
      <c r="G107" t="s">
        <v>21</v>
      </c>
      <c r="H107" s="10">
        <v>66688</v>
      </c>
      <c r="I107" t="str">
        <f t="shared" si="2"/>
        <v>William Williams</v>
      </c>
      <c r="J107" t="str">
        <f>VLOOKUP(F107,Lookup_Departments!$A:$B,2,FALSE)</f>
        <v>Marketing</v>
      </c>
      <c r="K107">
        <f t="shared" ca="1" si="3"/>
        <v>5</v>
      </c>
      <c r="L107" t="str">
        <f>VLOOKUP(E107,Lookup_Performance!$A:$D,3,TRUE)</f>
        <v>Needs Improvement</v>
      </c>
      <c r="M107" s="11">
        <f>H107*VLOOKUP(E107,Lookup_Performance!$A:$D,4,TRUE())</f>
        <v>0</v>
      </c>
    </row>
    <row r="108" spans="1:13">
      <c r="A108" t="s">
        <v>149</v>
      </c>
      <c r="B108" t="s">
        <v>49</v>
      </c>
      <c r="C108" t="s">
        <v>44</v>
      </c>
      <c r="D108" s="4">
        <v>44394</v>
      </c>
      <c r="E108" s="8">
        <v>88</v>
      </c>
      <c r="F108" t="s">
        <v>7</v>
      </c>
      <c r="G108" t="s">
        <v>34</v>
      </c>
      <c r="H108" s="10">
        <v>91672</v>
      </c>
      <c r="I108" t="str">
        <f t="shared" si="2"/>
        <v>James Jones</v>
      </c>
      <c r="J108" t="str">
        <f>VLOOKUP(F108,Lookup_Departments!$A:$B,2,FALSE)</f>
        <v>Information Technology</v>
      </c>
      <c r="K108">
        <f t="shared" ca="1" si="3"/>
        <v>4</v>
      </c>
      <c r="L108" t="str">
        <f>VLOOKUP(E108,Lookup_Performance!$A:$D,3,TRUE)</f>
        <v>Exceeding</v>
      </c>
      <c r="M108" s="11">
        <f>H108*VLOOKUP(E108,Lookup_Performance!$A:$D,4,TRUE())</f>
        <v>7333.76</v>
      </c>
    </row>
    <row r="109" spans="1:13">
      <c r="A109" t="s">
        <v>150</v>
      </c>
      <c r="B109" t="s">
        <v>28</v>
      </c>
      <c r="C109" t="s">
        <v>13</v>
      </c>
      <c r="D109" s="4">
        <v>42687</v>
      </c>
      <c r="E109" s="8">
        <v>77</v>
      </c>
      <c r="F109" t="s">
        <v>70</v>
      </c>
      <c r="G109" t="s">
        <v>34</v>
      </c>
      <c r="H109" s="10">
        <v>77737</v>
      </c>
      <c r="I109" t="str">
        <f t="shared" si="2"/>
        <v>Jessica Gonzalez</v>
      </c>
      <c r="J109" t="str">
        <f>VLOOKUP(F109,Lookup_Departments!$A:$B,2,FALSE)</f>
        <v>Human Resources</v>
      </c>
      <c r="K109">
        <f t="shared" ca="1" si="3"/>
        <v>9</v>
      </c>
      <c r="L109" t="str">
        <f>VLOOKUP(E109,Lookup_Performance!$A:$D,3,TRUE)</f>
        <v>Achieving</v>
      </c>
      <c r="M109" s="11">
        <f>H109*VLOOKUP(E109,Lookup_Performance!$A:$D,4,TRUE())</f>
        <v>3886.8500000000004</v>
      </c>
    </row>
    <row r="110" spans="1:13">
      <c r="A110" t="s">
        <v>151</v>
      </c>
      <c r="B110" t="s">
        <v>68</v>
      </c>
      <c r="C110" t="s">
        <v>36</v>
      </c>
      <c r="D110" s="4">
        <v>43513</v>
      </c>
      <c r="E110" s="8">
        <v>91</v>
      </c>
      <c r="F110" t="s">
        <v>33</v>
      </c>
      <c r="G110" t="s">
        <v>34</v>
      </c>
      <c r="H110" s="10">
        <v>95686</v>
      </c>
      <c r="I110" t="str">
        <f t="shared" si="2"/>
        <v>Sarah Miller</v>
      </c>
      <c r="J110" t="str">
        <f>VLOOKUP(F110,Lookup_Departments!$A:$B,2,FALSE)</f>
        <v>Sales</v>
      </c>
      <c r="K110">
        <f t="shared" ca="1" si="3"/>
        <v>7</v>
      </c>
      <c r="L110" t="str">
        <f>VLOOKUP(E110,Lookup_Performance!$A:$D,3,TRUE)</f>
        <v>Exceeding</v>
      </c>
      <c r="M110" s="11">
        <f>H110*VLOOKUP(E110,Lookup_Performance!$A:$D,4,TRUE())</f>
        <v>7654.88</v>
      </c>
    </row>
    <row r="111" spans="1:13">
      <c r="A111" t="s">
        <v>152</v>
      </c>
      <c r="B111" t="s">
        <v>28</v>
      </c>
      <c r="C111" t="s">
        <v>20</v>
      </c>
      <c r="D111" s="4">
        <v>42625</v>
      </c>
      <c r="E111" s="8">
        <v>36</v>
      </c>
      <c r="F111" t="s">
        <v>33</v>
      </c>
      <c r="G111" t="s">
        <v>34</v>
      </c>
      <c r="H111" s="10">
        <v>114681</v>
      </c>
      <c r="I111" t="str">
        <f t="shared" si="2"/>
        <v>Jessica Smith</v>
      </c>
      <c r="J111" t="str">
        <f>VLOOKUP(F111,Lookup_Departments!$A:$B,2,FALSE)</f>
        <v>Sales</v>
      </c>
      <c r="K111">
        <f t="shared" ca="1" si="3"/>
        <v>9</v>
      </c>
      <c r="L111" t="str">
        <f>VLOOKUP(E111,Lookup_Performance!$A:$D,3,TRUE)</f>
        <v>Needs Improvement</v>
      </c>
      <c r="M111" s="11">
        <f>H111*VLOOKUP(E111,Lookup_Performance!$A:$D,4,TRUE())</f>
        <v>0</v>
      </c>
    </row>
    <row r="112" spans="1:13">
      <c r="A112" t="s">
        <v>153</v>
      </c>
      <c r="B112" t="s">
        <v>19</v>
      </c>
      <c r="C112" t="s">
        <v>44</v>
      </c>
      <c r="D112" s="4">
        <v>44421</v>
      </c>
      <c r="E112" s="8">
        <v>72</v>
      </c>
      <c r="F112" t="s">
        <v>24</v>
      </c>
      <c r="G112" t="s">
        <v>34</v>
      </c>
      <c r="H112" s="10">
        <v>109121</v>
      </c>
      <c r="I112" t="str">
        <f t="shared" si="2"/>
        <v>Thomas Jones</v>
      </c>
      <c r="J112" t="str">
        <f>VLOOKUP(F112,Lookup_Departments!$A:$B,2,FALSE)</f>
        <v>Operations</v>
      </c>
      <c r="K112">
        <f t="shared" ca="1" si="3"/>
        <v>4</v>
      </c>
      <c r="L112" t="str">
        <f>VLOOKUP(E112,Lookup_Performance!$A:$D,3,TRUE)</f>
        <v>Achieving</v>
      </c>
      <c r="M112" s="11">
        <f>H112*VLOOKUP(E112,Lookup_Performance!$A:$D,4,TRUE())</f>
        <v>5456.05</v>
      </c>
    </row>
    <row r="113" spans="1:13">
      <c r="A113" t="s">
        <v>154</v>
      </c>
      <c r="B113" t="s">
        <v>54</v>
      </c>
      <c r="C113" t="s">
        <v>6</v>
      </c>
      <c r="D113" s="4">
        <v>43996</v>
      </c>
      <c r="E113" s="8">
        <v>87</v>
      </c>
      <c r="F113" t="s">
        <v>11</v>
      </c>
      <c r="G113" t="s">
        <v>34</v>
      </c>
      <c r="H113" s="10">
        <v>112791</v>
      </c>
      <c r="I113" t="str">
        <f t="shared" si="2"/>
        <v>Amanda Brown</v>
      </c>
      <c r="J113" t="str">
        <f>VLOOKUP(F113,Lookup_Departments!$A:$B,2,FALSE)</f>
        <v>Marketing</v>
      </c>
      <c r="K113">
        <f t="shared" ca="1" si="3"/>
        <v>6</v>
      </c>
      <c r="L113" t="str">
        <f>VLOOKUP(E113,Lookup_Performance!$A:$D,3,TRUE)</f>
        <v>Exceeding</v>
      </c>
      <c r="M113" s="11">
        <f>H113*VLOOKUP(E113,Lookup_Performance!$A:$D,4,TRUE())</f>
        <v>9023.2800000000007</v>
      </c>
    </row>
    <row r="114" spans="1:13">
      <c r="A114" t="s">
        <v>155</v>
      </c>
      <c r="B114" t="s">
        <v>43</v>
      </c>
      <c r="C114" t="s">
        <v>16</v>
      </c>
      <c r="D114" s="4">
        <v>44747</v>
      </c>
      <c r="E114" s="8">
        <v>71</v>
      </c>
      <c r="F114" t="s">
        <v>7</v>
      </c>
      <c r="G114" t="s">
        <v>34</v>
      </c>
      <c r="H114" s="10">
        <v>118008</v>
      </c>
      <c r="I114" t="str">
        <f t="shared" si="2"/>
        <v>Robert Martinez</v>
      </c>
      <c r="J114" t="str">
        <f>VLOOKUP(F114,Lookup_Departments!$A:$B,2,FALSE)</f>
        <v>Information Technology</v>
      </c>
      <c r="K114">
        <f t="shared" ca="1" si="3"/>
        <v>4</v>
      </c>
      <c r="L114" t="str">
        <f>VLOOKUP(E114,Lookup_Performance!$A:$D,3,TRUE)</f>
        <v>Achieving</v>
      </c>
      <c r="M114" s="11">
        <f>H114*VLOOKUP(E114,Lookup_Performance!$A:$D,4,TRUE())</f>
        <v>5900.4000000000005</v>
      </c>
    </row>
    <row r="115" spans="1:13">
      <c r="A115" t="s">
        <v>156</v>
      </c>
      <c r="B115" t="s">
        <v>19</v>
      </c>
      <c r="C115" t="s">
        <v>36</v>
      </c>
      <c r="D115" s="4">
        <v>42561</v>
      </c>
      <c r="E115" s="8">
        <v>82</v>
      </c>
      <c r="F115" t="s">
        <v>7</v>
      </c>
      <c r="G115" t="s">
        <v>34</v>
      </c>
      <c r="H115" s="10">
        <v>74370</v>
      </c>
      <c r="I115" t="str">
        <f t="shared" si="2"/>
        <v>Thomas Miller</v>
      </c>
      <c r="J115" t="str">
        <f>VLOOKUP(F115,Lookup_Departments!$A:$B,2,FALSE)</f>
        <v>Information Technology</v>
      </c>
      <c r="K115">
        <f t="shared" ca="1" si="3"/>
        <v>9</v>
      </c>
      <c r="L115" t="str">
        <f>VLOOKUP(E115,Lookup_Performance!$A:$D,3,TRUE)</f>
        <v>Achieving</v>
      </c>
      <c r="M115" s="11">
        <f>H115*VLOOKUP(E115,Lookup_Performance!$A:$D,4,TRUE())</f>
        <v>3718.5</v>
      </c>
    </row>
    <row r="116" spans="1:13">
      <c r="A116" t="s">
        <v>157</v>
      </c>
      <c r="B116" t="s">
        <v>80</v>
      </c>
      <c r="C116" t="s">
        <v>30</v>
      </c>
      <c r="D116" s="4">
        <v>44674</v>
      </c>
      <c r="E116" s="8">
        <v>79</v>
      </c>
      <c r="F116" t="s">
        <v>7</v>
      </c>
      <c r="G116" t="s">
        <v>34</v>
      </c>
      <c r="H116" s="10">
        <v>77819</v>
      </c>
      <c r="I116" t="str">
        <f t="shared" si="2"/>
        <v>David Rodriguez</v>
      </c>
      <c r="J116" t="str">
        <f>VLOOKUP(F116,Lookup_Departments!$A:$B,2,FALSE)</f>
        <v>Information Technology</v>
      </c>
      <c r="K116">
        <f t="shared" ca="1" si="3"/>
        <v>4</v>
      </c>
      <c r="L116" t="str">
        <f>VLOOKUP(E116,Lookup_Performance!$A:$D,3,TRUE)</f>
        <v>Achieving</v>
      </c>
      <c r="M116" s="11">
        <f>H116*VLOOKUP(E116,Lookup_Performance!$A:$D,4,TRUE())</f>
        <v>3890.9500000000003</v>
      </c>
    </row>
    <row r="117" spans="1:13">
      <c r="A117" t="s">
        <v>158</v>
      </c>
      <c r="B117" t="s">
        <v>39</v>
      </c>
      <c r="C117" t="s">
        <v>36</v>
      </c>
      <c r="D117" s="4">
        <v>42865</v>
      </c>
      <c r="E117" s="8">
        <v>83</v>
      </c>
      <c r="F117" t="s">
        <v>11</v>
      </c>
      <c r="G117" t="s">
        <v>34</v>
      </c>
      <c r="H117" s="10">
        <v>48748</v>
      </c>
      <c r="I117" t="str">
        <f t="shared" si="2"/>
        <v>Jane Miller</v>
      </c>
      <c r="J117" t="str">
        <f>VLOOKUP(F117,Lookup_Departments!$A:$B,2,FALSE)</f>
        <v>Marketing</v>
      </c>
      <c r="K117">
        <f t="shared" ca="1" si="3"/>
        <v>9</v>
      </c>
      <c r="L117" t="str">
        <f>VLOOKUP(E117,Lookup_Performance!$A:$D,3,TRUE)</f>
        <v>Achieving</v>
      </c>
      <c r="M117" s="11">
        <f>H117*VLOOKUP(E117,Lookup_Performance!$A:$D,4,TRUE())</f>
        <v>2437.4</v>
      </c>
    </row>
    <row r="118" spans="1:13">
      <c r="A118" t="s">
        <v>159</v>
      </c>
      <c r="B118" t="s">
        <v>49</v>
      </c>
      <c r="C118" t="s">
        <v>30</v>
      </c>
      <c r="D118" s="4">
        <v>43971</v>
      </c>
      <c r="E118" s="8">
        <v>38</v>
      </c>
      <c r="F118" t="s">
        <v>24</v>
      </c>
      <c r="G118" t="s">
        <v>82</v>
      </c>
      <c r="H118" s="10">
        <v>101997</v>
      </c>
      <c r="I118" t="str">
        <f t="shared" si="2"/>
        <v>James Rodriguez</v>
      </c>
      <c r="J118" t="str">
        <f>VLOOKUP(F118,Lookup_Departments!$A:$B,2,FALSE)</f>
        <v>Operations</v>
      </c>
      <c r="K118">
        <f t="shared" ca="1" si="3"/>
        <v>6</v>
      </c>
      <c r="L118" t="str">
        <f>VLOOKUP(E118,Lookup_Performance!$A:$D,3,TRUE)</f>
        <v>Needs Improvement</v>
      </c>
      <c r="M118" s="11">
        <f>H118*VLOOKUP(E118,Lookup_Performance!$A:$D,4,TRUE())</f>
        <v>0</v>
      </c>
    </row>
    <row r="119" spans="1:13">
      <c r="A119" t="s">
        <v>160</v>
      </c>
      <c r="B119" t="s">
        <v>68</v>
      </c>
      <c r="C119" t="s">
        <v>30</v>
      </c>
      <c r="D119" s="4">
        <v>45036</v>
      </c>
      <c r="E119" s="8">
        <v>77</v>
      </c>
      <c r="F119" t="s">
        <v>70</v>
      </c>
      <c r="G119" t="s">
        <v>34</v>
      </c>
      <c r="H119" s="10">
        <v>115260</v>
      </c>
      <c r="I119" t="str">
        <f t="shared" si="2"/>
        <v>Sarah Rodriguez</v>
      </c>
      <c r="J119" t="str">
        <f>VLOOKUP(F119,Lookup_Departments!$A:$B,2,FALSE)</f>
        <v>Human Resources</v>
      </c>
      <c r="K119">
        <f t="shared" ca="1" si="3"/>
        <v>3</v>
      </c>
      <c r="L119" t="str">
        <f>VLOOKUP(E119,Lookup_Performance!$A:$D,3,TRUE)</f>
        <v>Achieving</v>
      </c>
      <c r="M119" s="11">
        <f>H119*VLOOKUP(E119,Lookup_Performance!$A:$D,4,TRUE())</f>
        <v>5763</v>
      </c>
    </row>
    <row r="120" spans="1:13">
      <c r="A120" t="s">
        <v>161</v>
      </c>
      <c r="B120" t="s">
        <v>68</v>
      </c>
      <c r="C120" t="s">
        <v>26</v>
      </c>
      <c r="D120" s="4">
        <v>44500</v>
      </c>
      <c r="E120" s="8">
        <v>49</v>
      </c>
      <c r="F120" t="s">
        <v>33</v>
      </c>
      <c r="G120" t="s">
        <v>34</v>
      </c>
      <c r="H120" s="10">
        <v>87282</v>
      </c>
      <c r="I120" t="str">
        <f t="shared" si="2"/>
        <v>Sarah Wilson</v>
      </c>
      <c r="J120" t="str">
        <f>VLOOKUP(F120,Lookup_Departments!$A:$B,2,FALSE)</f>
        <v>Sales</v>
      </c>
      <c r="K120">
        <f t="shared" ca="1" si="3"/>
        <v>4</v>
      </c>
      <c r="L120" t="str">
        <f>VLOOKUP(E120,Lookup_Performance!$A:$D,3,TRUE)</f>
        <v>Needs Improvement</v>
      </c>
      <c r="M120" s="11">
        <f>H120*VLOOKUP(E120,Lookup_Performance!$A:$D,4,TRUE())</f>
        <v>0</v>
      </c>
    </row>
    <row r="121" spans="1:13">
      <c r="A121" t="s">
        <v>162</v>
      </c>
      <c r="B121" t="s">
        <v>75</v>
      </c>
      <c r="C121" t="s">
        <v>6</v>
      </c>
      <c r="D121" s="4">
        <v>44493</v>
      </c>
      <c r="E121" s="8">
        <v>69</v>
      </c>
      <c r="F121" t="s">
        <v>7</v>
      </c>
      <c r="G121" t="s">
        <v>21</v>
      </c>
      <c r="H121" s="10">
        <v>80014</v>
      </c>
      <c r="I121" t="str">
        <f t="shared" si="2"/>
        <v>Melissa Brown</v>
      </c>
      <c r="J121" t="str">
        <f>VLOOKUP(F121,Lookup_Departments!$A:$B,2,FALSE)</f>
        <v>Information Technology</v>
      </c>
      <c r="K121">
        <f t="shared" ca="1" si="3"/>
        <v>4</v>
      </c>
      <c r="L121" t="str">
        <f>VLOOKUP(E121,Lookup_Performance!$A:$D,3,TRUE)</f>
        <v>Developing</v>
      </c>
      <c r="M121" s="11">
        <f>H121*VLOOKUP(E121,Lookup_Performance!$A:$D,4,TRUE())</f>
        <v>1600.28</v>
      </c>
    </row>
    <row r="122" spans="1:13">
      <c r="A122" t="s">
        <v>163</v>
      </c>
      <c r="B122" t="s">
        <v>43</v>
      </c>
      <c r="C122" t="s">
        <v>40</v>
      </c>
      <c r="D122" s="4">
        <v>42956</v>
      </c>
      <c r="E122" s="8">
        <v>76</v>
      </c>
      <c r="F122" t="s">
        <v>33</v>
      </c>
      <c r="G122" t="s">
        <v>34</v>
      </c>
      <c r="H122" s="10">
        <v>87282</v>
      </c>
      <c r="I122" t="str">
        <f t="shared" si="2"/>
        <v>Robert Williams</v>
      </c>
      <c r="J122" t="str">
        <f>VLOOKUP(F122,Lookup_Departments!$A:$B,2,FALSE)</f>
        <v>Sales</v>
      </c>
      <c r="K122">
        <f t="shared" ca="1" si="3"/>
        <v>8</v>
      </c>
      <c r="L122" t="str">
        <f>VLOOKUP(E122,Lookup_Performance!$A:$D,3,TRUE)</f>
        <v>Achieving</v>
      </c>
      <c r="M122" s="11">
        <f>H122*VLOOKUP(E122,Lookup_Performance!$A:$D,4,TRUE())</f>
        <v>4364.1000000000004</v>
      </c>
    </row>
    <row r="123" spans="1:13">
      <c r="A123" t="s">
        <v>164</v>
      </c>
      <c r="B123" t="s">
        <v>75</v>
      </c>
      <c r="C123" t="s">
        <v>30</v>
      </c>
      <c r="D123" s="4">
        <v>44930</v>
      </c>
      <c r="E123" s="8">
        <v>78</v>
      </c>
      <c r="F123" t="s">
        <v>24</v>
      </c>
      <c r="G123" t="s">
        <v>34</v>
      </c>
      <c r="H123" s="10">
        <v>60623</v>
      </c>
      <c r="I123" t="str">
        <f t="shared" si="2"/>
        <v>Melissa Rodriguez</v>
      </c>
      <c r="J123" t="str">
        <f>VLOOKUP(F123,Lookup_Departments!$A:$B,2,FALSE)</f>
        <v>Operations</v>
      </c>
      <c r="K123">
        <f t="shared" ca="1" si="3"/>
        <v>3</v>
      </c>
      <c r="L123" t="str">
        <f>VLOOKUP(E123,Lookup_Performance!$A:$D,3,TRUE)</f>
        <v>Achieving</v>
      </c>
      <c r="M123" s="11">
        <f>H123*VLOOKUP(E123,Lookup_Performance!$A:$D,4,TRUE())</f>
        <v>3031.15</v>
      </c>
    </row>
    <row r="124" spans="1:13">
      <c r="A124" t="s">
        <v>165</v>
      </c>
      <c r="B124" t="s">
        <v>49</v>
      </c>
      <c r="C124" t="s">
        <v>23</v>
      </c>
      <c r="D124" s="4">
        <v>44053</v>
      </c>
      <c r="E124" s="8">
        <v>93</v>
      </c>
      <c r="F124" t="s">
        <v>70</v>
      </c>
      <c r="G124" t="s">
        <v>34</v>
      </c>
      <c r="H124" s="10">
        <v>68092</v>
      </c>
      <c r="I124" t="str">
        <f t="shared" si="2"/>
        <v>James Johnson</v>
      </c>
      <c r="J124" t="str">
        <f>VLOOKUP(F124,Lookup_Departments!$A:$B,2,FALSE)</f>
        <v>Human Resources</v>
      </c>
      <c r="K124">
        <f t="shared" ca="1" si="3"/>
        <v>5</v>
      </c>
      <c r="L124" t="str">
        <f>VLOOKUP(E124,Lookup_Performance!$A:$D,3,TRUE)</f>
        <v>Exceeding</v>
      </c>
      <c r="M124" s="11">
        <f>H124*VLOOKUP(E124,Lookup_Performance!$A:$D,4,TRUE())</f>
        <v>5447.36</v>
      </c>
    </row>
    <row r="125" spans="1:13">
      <c r="A125" t="s">
        <v>166</v>
      </c>
      <c r="B125" t="s">
        <v>32</v>
      </c>
      <c r="C125" t="s">
        <v>26</v>
      </c>
      <c r="D125" s="4">
        <v>44653</v>
      </c>
      <c r="E125" s="8">
        <v>68</v>
      </c>
      <c r="F125" t="s">
        <v>11</v>
      </c>
      <c r="G125" t="s">
        <v>34</v>
      </c>
      <c r="H125" s="10">
        <v>88155</v>
      </c>
      <c r="I125" t="str">
        <f t="shared" si="2"/>
        <v>Michael Wilson</v>
      </c>
      <c r="J125" t="str">
        <f>VLOOKUP(F125,Lookup_Departments!$A:$B,2,FALSE)</f>
        <v>Marketing</v>
      </c>
      <c r="K125">
        <f t="shared" ca="1" si="3"/>
        <v>4</v>
      </c>
      <c r="L125" t="str">
        <f>VLOOKUP(E125,Lookup_Performance!$A:$D,3,TRUE)</f>
        <v>Developing</v>
      </c>
      <c r="M125" s="11">
        <f>H125*VLOOKUP(E125,Lookup_Performance!$A:$D,4,TRUE())</f>
        <v>1763.1000000000001</v>
      </c>
    </row>
    <row r="126" spans="1:13">
      <c r="A126" t="s">
        <v>167</v>
      </c>
      <c r="B126" t="s">
        <v>113</v>
      </c>
      <c r="C126" t="s">
        <v>44</v>
      </c>
      <c r="D126" s="4">
        <v>43183</v>
      </c>
      <c r="E126" s="8">
        <v>42</v>
      </c>
      <c r="F126" t="s">
        <v>11</v>
      </c>
      <c r="G126" t="s">
        <v>34</v>
      </c>
      <c r="H126" s="10">
        <v>107903</v>
      </c>
      <c r="I126" t="str">
        <f t="shared" si="2"/>
        <v>William Jones</v>
      </c>
      <c r="J126" t="str">
        <f>VLOOKUP(F126,Lookup_Departments!$A:$B,2,FALSE)</f>
        <v>Marketing</v>
      </c>
      <c r="K126">
        <f t="shared" ca="1" si="3"/>
        <v>8</v>
      </c>
      <c r="L126" t="str">
        <f>VLOOKUP(E126,Lookup_Performance!$A:$D,3,TRUE)</f>
        <v>Needs Improvement</v>
      </c>
      <c r="M126" s="11">
        <f>H126*VLOOKUP(E126,Lookup_Performance!$A:$D,4,TRUE())</f>
        <v>0</v>
      </c>
    </row>
    <row r="127" spans="1:13">
      <c r="A127" t="s">
        <v>168</v>
      </c>
      <c r="B127" t="s">
        <v>113</v>
      </c>
      <c r="C127" t="s">
        <v>40</v>
      </c>
      <c r="D127" s="4">
        <v>43305</v>
      </c>
      <c r="E127" s="8">
        <v>34</v>
      </c>
      <c r="F127" t="s">
        <v>7</v>
      </c>
      <c r="G127" t="s">
        <v>34</v>
      </c>
      <c r="H127" s="10">
        <v>62818</v>
      </c>
      <c r="I127" t="str">
        <f t="shared" si="2"/>
        <v>William Williams</v>
      </c>
      <c r="J127" t="str">
        <f>VLOOKUP(F127,Lookup_Departments!$A:$B,2,FALSE)</f>
        <v>Information Technology</v>
      </c>
      <c r="K127">
        <f t="shared" ca="1" si="3"/>
        <v>7</v>
      </c>
      <c r="L127" t="str">
        <f>VLOOKUP(E127,Lookup_Performance!$A:$D,3,TRUE)</f>
        <v>Needs Improvement</v>
      </c>
      <c r="M127" s="11">
        <f>H127*VLOOKUP(E127,Lookup_Performance!$A:$D,4,TRUE())</f>
        <v>0</v>
      </c>
    </row>
    <row r="128" spans="1:13">
      <c r="A128" t="s">
        <v>169</v>
      </c>
      <c r="B128" t="s">
        <v>80</v>
      </c>
      <c r="C128" t="s">
        <v>40</v>
      </c>
      <c r="D128" s="4">
        <v>43301</v>
      </c>
      <c r="E128" s="8">
        <v>35</v>
      </c>
      <c r="F128" t="s">
        <v>70</v>
      </c>
      <c r="G128" t="s">
        <v>34</v>
      </c>
      <c r="H128" s="10">
        <v>85151</v>
      </c>
      <c r="I128" t="str">
        <f t="shared" si="2"/>
        <v>David Williams</v>
      </c>
      <c r="J128" t="str">
        <f>VLOOKUP(F128,Lookup_Departments!$A:$B,2,FALSE)</f>
        <v>Human Resources</v>
      </c>
      <c r="K128">
        <f t="shared" ca="1" si="3"/>
        <v>7</v>
      </c>
      <c r="L128" t="str">
        <f>VLOOKUP(E128,Lookup_Performance!$A:$D,3,TRUE)</f>
        <v>Needs Improvement</v>
      </c>
      <c r="M128" s="11">
        <f>H128*VLOOKUP(E128,Lookup_Performance!$A:$D,4,TRUE())</f>
        <v>0</v>
      </c>
    </row>
    <row r="129" spans="1:13">
      <c r="A129" t="s">
        <v>170</v>
      </c>
      <c r="B129" t="s">
        <v>39</v>
      </c>
      <c r="C129" t="s">
        <v>47</v>
      </c>
      <c r="D129" s="4">
        <v>42433</v>
      </c>
      <c r="E129" s="8">
        <v>95</v>
      </c>
      <c r="F129" t="s">
        <v>17</v>
      </c>
      <c r="G129" t="s">
        <v>34</v>
      </c>
      <c r="H129" s="10">
        <v>46390</v>
      </c>
      <c r="I129" t="str">
        <f t="shared" si="2"/>
        <v>Jane Davis</v>
      </c>
      <c r="J129" t="str">
        <f>VLOOKUP(F129,Lookup_Departments!$A:$B,2,FALSE)</f>
        <v>Finance</v>
      </c>
      <c r="K129">
        <f t="shared" ca="1" si="3"/>
        <v>10</v>
      </c>
      <c r="L129" t="str">
        <f>VLOOKUP(E129,Lookup_Performance!$A:$D,3,TRUE)</f>
        <v>Outstanding</v>
      </c>
      <c r="M129" s="11">
        <f>H129*VLOOKUP(E129,Lookup_Performance!$A:$D,4,TRUE())</f>
        <v>5566.8</v>
      </c>
    </row>
    <row r="130" spans="1:13">
      <c r="A130" t="s">
        <v>171</v>
      </c>
      <c r="B130" t="s">
        <v>15</v>
      </c>
      <c r="C130" t="s">
        <v>16</v>
      </c>
      <c r="D130" s="4">
        <v>44643</v>
      </c>
      <c r="E130" s="8">
        <v>90</v>
      </c>
      <c r="F130" t="s">
        <v>70</v>
      </c>
      <c r="G130" t="s">
        <v>21</v>
      </c>
      <c r="H130" s="10">
        <v>111920</v>
      </c>
      <c r="I130" t="str">
        <f t="shared" si="2"/>
        <v>John Martinez</v>
      </c>
      <c r="J130" t="str">
        <f>VLOOKUP(F130,Lookup_Departments!$A:$B,2,FALSE)</f>
        <v>Human Resources</v>
      </c>
      <c r="K130">
        <f t="shared" ca="1" si="3"/>
        <v>4</v>
      </c>
      <c r="L130" t="str">
        <f>VLOOKUP(E130,Lookup_Performance!$A:$D,3,TRUE)</f>
        <v>Exceeding</v>
      </c>
      <c r="M130" s="11">
        <f>H130*VLOOKUP(E130,Lookup_Performance!$A:$D,4,TRUE())</f>
        <v>8953.6</v>
      </c>
    </row>
    <row r="131" spans="1:13">
      <c r="A131" t="s">
        <v>172</v>
      </c>
      <c r="B131" t="s">
        <v>80</v>
      </c>
      <c r="C131" t="s">
        <v>97</v>
      </c>
      <c r="D131" s="4">
        <v>42944</v>
      </c>
      <c r="E131" s="8">
        <v>42</v>
      </c>
      <c r="F131" t="s">
        <v>70</v>
      </c>
      <c r="G131" t="s">
        <v>34</v>
      </c>
      <c r="H131" s="10">
        <v>115618</v>
      </c>
      <c r="I131" t="str">
        <f t="shared" ref="I131:I155" si="4">TRIM(B131&amp;" "&amp;C131)</f>
        <v>David Anderson</v>
      </c>
      <c r="J131" t="str">
        <f>VLOOKUP(F131,Lookup_Departments!$A:$B,2,FALSE)</f>
        <v>Human Resources</v>
      </c>
      <c r="K131">
        <f t="shared" ref="K131:K151" ca="1" si="5">DATEDIF(D131,TODAY(),"y")</f>
        <v>8</v>
      </c>
      <c r="L131" t="str">
        <f>VLOOKUP(E131,Lookup_Performance!$A:$D,3,TRUE)</f>
        <v>Needs Improvement</v>
      </c>
      <c r="M131" s="11">
        <f>H131*VLOOKUP(E131,Lookup_Performance!$A:$D,4,TRUE())</f>
        <v>0</v>
      </c>
    </row>
    <row r="132" spans="1:13">
      <c r="A132" t="s">
        <v>173</v>
      </c>
      <c r="B132" t="s">
        <v>68</v>
      </c>
      <c r="C132" t="s">
        <v>20</v>
      </c>
      <c r="D132" s="4">
        <v>45057</v>
      </c>
      <c r="E132" s="8">
        <v>88</v>
      </c>
      <c r="F132" t="s">
        <v>33</v>
      </c>
      <c r="G132" t="s">
        <v>82</v>
      </c>
      <c r="H132" s="10">
        <v>110618</v>
      </c>
      <c r="I132" t="str">
        <f t="shared" si="4"/>
        <v>Sarah Smith</v>
      </c>
      <c r="J132" t="str">
        <f>VLOOKUP(F132,Lookup_Departments!$A:$B,2,FALSE)</f>
        <v>Sales</v>
      </c>
      <c r="K132">
        <f t="shared" ca="1" si="5"/>
        <v>3</v>
      </c>
      <c r="L132" t="str">
        <f>VLOOKUP(E132,Lookup_Performance!$A:$D,3,TRUE)</f>
        <v>Exceeding</v>
      </c>
      <c r="M132" s="11">
        <f>H132*VLOOKUP(E132,Lookup_Performance!$A:$D,4,TRUE())</f>
        <v>8849.44</v>
      </c>
    </row>
    <row r="133" spans="1:13">
      <c r="A133" t="s">
        <v>174</v>
      </c>
      <c r="B133" t="s">
        <v>75</v>
      </c>
      <c r="C133" t="s">
        <v>10</v>
      </c>
      <c r="D133" s="4">
        <v>44639</v>
      </c>
      <c r="E133" s="8">
        <v>78</v>
      </c>
      <c r="F133" t="s">
        <v>24</v>
      </c>
      <c r="G133" t="s">
        <v>21</v>
      </c>
      <c r="H133" s="10">
        <v>108395</v>
      </c>
      <c r="I133" t="str">
        <f t="shared" si="4"/>
        <v>Melissa Hernandez</v>
      </c>
      <c r="J133" t="str">
        <f>VLOOKUP(F133,Lookup_Departments!$A:$B,2,FALSE)</f>
        <v>Operations</v>
      </c>
      <c r="K133">
        <f t="shared" ca="1" si="5"/>
        <v>4</v>
      </c>
      <c r="L133" t="str">
        <f>VLOOKUP(E133,Lookup_Performance!$A:$D,3,TRUE)</f>
        <v>Achieving</v>
      </c>
      <c r="M133" s="11">
        <f>H133*VLOOKUP(E133,Lookup_Performance!$A:$D,4,TRUE())</f>
        <v>5419.75</v>
      </c>
    </row>
    <row r="134" spans="1:13">
      <c r="A134" t="s">
        <v>175</v>
      </c>
      <c r="B134" t="s">
        <v>75</v>
      </c>
      <c r="C134" t="s">
        <v>23</v>
      </c>
      <c r="D134" s="4">
        <v>43091</v>
      </c>
      <c r="E134" s="8">
        <v>69</v>
      </c>
      <c r="F134" t="s">
        <v>17</v>
      </c>
      <c r="G134" t="s">
        <v>34</v>
      </c>
      <c r="H134" s="10">
        <v>88005</v>
      </c>
      <c r="I134" t="str">
        <f t="shared" si="4"/>
        <v>Melissa Johnson</v>
      </c>
      <c r="J134" t="str">
        <f>VLOOKUP(F134,Lookup_Departments!$A:$B,2,FALSE)</f>
        <v>Finance</v>
      </c>
      <c r="K134">
        <f t="shared" ca="1" si="5"/>
        <v>8</v>
      </c>
      <c r="L134" t="str">
        <f>VLOOKUP(E134,Lookup_Performance!$A:$D,3,TRUE)</f>
        <v>Developing</v>
      </c>
      <c r="M134" s="11">
        <f>H134*VLOOKUP(E134,Lookup_Performance!$A:$D,4,TRUE())</f>
        <v>1760.1000000000001</v>
      </c>
    </row>
    <row r="135" spans="1:13">
      <c r="A135" t="s">
        <v>176</v>
      </c>
      <c r="B135" t="s">
        <v>39</v>
      </c>
      <c r="C135" t="s">
        <v>95</v>
      </c>
      <c r="D135" s="4">
        <v>44437</v>
      </c>
      <c r="E135" s="8">
        <v>82</v>
      </c>
      <c r="F135" t="s">
        <v>11</v>
      </c>
      <c r="G135" t="s">
        <v>34</v>
      </c>
      <c r="H135" s="10">
        <v>83007</v>
      </c>
      <c r="I135" t="str">
        <f t="shared" si="4"/>
        <v>Jane Garcia</v>
      </c>
      <c r="J135" t="str">
        <f>VLOOKUP(F135,Lookup_Departments!$A:$B,2,FALSE)</f>
        <v>Marketing</v>
      </c>
      <c r="K135">
        <f t="shared" ca="1" si="5"/>
        <v>4</v>
      </c>
      <c r="L135" t="str">
        <f>VLOOKUP(E135,Lookup_Performance!$A:$D,3,TRUE)</f>
        <v>Achieving</v>
      </c>
      <c r="M135" s="11">
        <f>H135*VLOOKUP(E135,Lookup_Performance!$A:$D,4,TRUE())</f>
        <v>4150.3500000000004</v>
      </c>
    </row>
    <row r="136" spans="1:13">
      <c r="A136" t="s">
        <v>177</v>
      </c>
      <c r="B136" t="s">
        <v>80</v>
      </c>
      <c r="C136" t="s">
        <v>47</v>
      </c>
      <c r="D136" s="4">
        <v>43360</v>
      </c>
      <c r="E136" s="8">
        <v>68</v>
      </c>
      <c r="F136" t="s">
        <v>7</v>
      </c>
      <c r="G136" t="s">
        <v>34</v>
      </c>
      <c r="H136" s="10">
        <v>61547</v>
      </c>
      <c r="I136" t="str">
        <f t="shared" si="4"/>
        <v>David Davis</v>
      </c>
      <c r="J136" t="str">
        <f>VLOOKUP(F136,Lookup_Departments!$A:$B,2,FALSE)</f>
        <v>Information Technology</v>
      </c>
      <c r="K136">
        <f t="shared" ca="1" si="5"/>
        <v>7</v>
      </c>
      <c r="L136" t="str">
        <f>VLOOKUP(E136,Lookup_Performance!$A:$D,3,TRUE)</f>
        <v>Developing</v>
      </c>
      <c r="M136" s="11">
        <f>H136*VLOOKUP(E136,Lookup_Performance!$A:$D,4,TRUE())</f>
        <v>1230.94</v>
      </c>
    </row>
    <row r="137" spans="1:13">
      <c r="A137" t="s">
        <v>178</v>
      </c>
      <c r="B137" t="s">
        <v>49</v>
      </c>
      <c r="C137" t="s">
        <v>26</v>
      </c>
      <c r="D137" s="4">
        <v>44375</v>
      </c>
      <c r="E137" s="8">
        <v>52</v>
      </c>
      <c r="F137" t="s">
        <v>33</v>
      </c>
      <c r="G137" t="s">
        <v>34</v>
      </c>
      <c r="H137" s="10">
        <v>87282</v>
      </c>
      <c r="I137" t="str">
        <f t="shared" si="4"/>
        <v>James Wilson</v>
      </c>
      <c r="J137" t="str">
        <f>VLOOKUP(F137,Lookup_Departments!$A:$B,2,FALSE)</f>
        <v>Sales</v>
      </c>
      <c r="K137">
        <f t="shared" ca="1" si="5"/>
        <v>5</v>
      </c>
      <c r="L137" t="str">
        <f>VLOOKUP(E137,Lookup_Performance!$A:$D,3,TRUE)</f>
        <v>Developing</v>
      </c>
      <c r="M137" s="11">
        <f>H137*VLOOKUP(E137,Lookup_Performance!$A:$D,4,TRUE())</f>
        <v>1745.64</v>
      </c>
    </row>
    <row r="138" spans="1:13">
      <c r="A138" t="s">
        <v>179</v>
      </c>
      <c r="B138" t="s">
        <v>9</v>
      </c>
      <c r="C138" t="s">
        <v>23</v>
      </c>
      <c r="D138" s="4">
        <v>43011</v>
      </c>
      <c r="E138" s="8">
        <v>92</v>
      </c>
      <c r="F138" t="s">
        <v>24</v>
      </c>
      <c r="G138" t="s">
        <v>21</v>
      </c>
      <c r="H138" s="10">
        <v>50399</v>
      </c>
      <c r="I138" t="str">
        <f t="shared" si="4"/>
        <v>Richard Johnson</v>
      </c>
      <c r="J138" t="str">
        <f>VLOOKUP(F138,Lookup_Departments!$A:$B,2,FALSE)</f>
        <v>Operations</v>
      </c>
      <c r="K138">
        <f t="shared" ca="1" si="5"/>
        <v>8</v>
      </c>
      <c r="L138" t="str">
        <f>VLOOKUP(E138,Lookup_Performance!$A:$D,3,TRUE)</f>
        <v>Exceeding</v>
      </c>
      <c r="M138" s="11">
        <f>H138*VLOOKUP(E138,Lookup_Performance!$A:$D,4,TRUE())</f>
        <v>4031.92</v>
      </c>
    </row>
    <row r="139" spans="1:13">
      <c r="A139" t="s">
        <v>180</v>
      </c>
      <c r="B139" t="s">
        <v>9</v>
      </c>
      <c r="C139" t="s">
        <v>40</v>
      </c>
      <c r="D139" s="4">
        <v>42299</v>
      </c>
      <c r="E139" s="8">
        <v>62</v>
      </c>
      <c r="F139" t="s">
        <v>17</v>
      </c>
      <c r="G139" t="s">
        <v>34</v>
      </c>
      <c r="H139" s="10">
        <v>87938</v>
      </c>
      <c r="I139" t="str">
        <f t="shared" si="4"/>
        <v>Richard Williams</v>
      </c>
      <c r="J139" t="str">
        <f>VLOOKUP(F139,Lookup_Departments!$A:$B,2,FALSE)</f>
        <v>Finance</v>
      </c>
      <c r="K139">
        <f t="shared" ca="1" si="5"/>
        <v>10</v>
      </c>
      <c r="L139" t="str">
        <f>VLOOKUP(E139,Lookup_Performance!$A:$D,3,TRUE)</f>
        <v>Developing</v>
      </c>
      <c r="M139" s="11">
        <f>H139*VLOOKUP(E139,Lookup_Performance!$A:$D,4,TRUE())</f>
        <v>1758.76</v>
      </c>
    </row>
    <row r="140" spans="1:13">
      <c r="A140" t="s">
        <v>181</v>
      </c>
      <c r="B140" t="s">
        <v>15</v>
      </c>
      <c r="C140" t="s">
        <v>10</v>
      </c>
      <c r="D140" s="4">
        <v>43257</v>
      </c>
      <c r="E140" s="8">
        <v>68</v>
      </c>
      <c r="F140" t="s">
        <v>24</v>
      </c>
      <c r="G140" t="s">
        <v>34</v>
      </c>
      <c r="H140" s="10">
        <v>52720</v>
      </c>
      <c r="I140" t="str">
        <f t="shared" si="4"/>
        <v>John Hernandez</v>
      </c>
      <c r="J140" t="str">
        <f>VLOOKUP(F140,Lookup_Departments!$A:$B,2,FALSE)</f>
        <v>Operations</v>
      </c>
      <c r="K140">
        <f t="shared" ca="1" si="5"/>
        <v>8</v>
      </c>
      <c r="L140" t="str">
        <f>VLOOKUP(E140,Lookup_Performance!$A:$D,3,TRUE)</f>
        <v>Developing</v>
      </c>
      <c r="M140" s="11">
        <f>H140*VLOOKUP(E140,Lookup_Performance!$A:$D,4,TRUE())</f>
        <v>1054.4000000000001</v>
      </c>
    </row>
    <row r="141" spans="1:13">
      <c r="A141" t="s">
        <v>182</v>
      </c>
      <c r="B141" t="s">
        <v>68</v>
      </c>
      <c r="C141" t="s">
        <v>13</v>
      </c>
      <c r="D141" s="4">
        <v>42932</v>
      </c>
      <c r="E141" s="8">
        <v>98</v>
      </c>
      <c r="F141" t="s">
        <v>24</v>
      </c>
      <c r="G141" t="s">
        <v>34</v>
      </c>
      <c r="H141" s="10">
        <v>65065</v>
      </c>
      <c r="I141" t="str">
        <f t="shared" si="4"/>
        <v>Sarah Gonzalez</v>
      </c>
      <c r="J141" t="str">
        <f>VLOOKUP(F141,Lookup_Departments!$A:$B,2,FALSE)</f>
        <v>Operations</v>
      </c>
      <c r="K141">
        <f t="shared" ca="1" si="5"/>
        <v>8</v>
      </c>
      <c r="L141" t="str">
        <f>VLOOKUP(E141,Lookup_Performance!$A:$D,3,TRUE)</f>
        <v>Outstanding</v>
      </c>
      <c r="M141" s="11">
        <f>H141*VLOOKUP(E141,Lookup_Performance!$A:$D,4,TRUE())</f>
        <v>7807.7999999999993</v>
      </c>
    </row>
    <row r="142" spans="1:13">
      <c r="A142" t="s">
        <v>183</v>
      </c>
      <c r="B142" t="s">
        <v>75</v>
      </c>
      <c r="C142" t="s">
        <v>10</v>
      </c>
      <c r="D142" s="4">
        <v>42175</v>
      </c>
      <c r="E142" s="8">
        <v>94</v>
      </c>
      <c r="F142" t="s">
        <v>33</v>
      </c>
      <c r="G142" t="s">
        <v>82</v>
      </c>
      <c r="H142" s="10">
        <v>87282</v>
      </c>
      <c r="I142" t="str">
        <f t="shared" si="4"/>
        <v>Melissa Hernandez</v>
      </c>
      <c r="J142" t="str">
        <f>VLOOKUP(F142,Lookup_Departments!$A:$B,2,FALSE)</f>
        <v>Sales</v>
      </c>
      <c r="K142">
        <f t="shared" ca="1" si="5"/>
        <v>11</v>
      </c>
      <c r="L142" t="str">
        <f>VLOOKUP(E142,Lookup_Performance!$A:$D,3,TRUE)</f>
        <v>Exceeding</v>
      </c>
      <c r="M142" s="11">
        <f>H142*VLOOKUP(E142,Lookup_Performance!$A:$D,4,TRUE())</f>
        <v>6982.56</v>
      </c>
    </row>
    <row r="143" spans="1:13">
      <c r="A143" t="s">
        <v>184</v>
      </c>
      <c r="B143" t="s">
        <v>75</v>
      </c>
      <c r="C143" t="s">
        <v>10</v>
      </c>
      <c r="D143" s="4">
        <v>43609</v>
      </c>
      <c r="E143" s="8">
        <v>57</v>
      </c>
      <c r="F143" t="s">
        <v>24</v>
      </c>
      <c r="G143" t="s">
        <v>82</v>
      </c>
      <c r="H143" s="10">
        <v>108119</v>
      </c>
      <c r="I143" t="str">
        <f t="shared" si="4"/>
        <v>Melissa Hernandez</v>
      </c>
      <c r="J143" t="str">
        <f>VLOOKUP(F143,Lookup_Departments!$A:$B,2,FALSE)</f>
        <v>Operations</v>
      </c>
      <c r="K143">
        <f t="shared" ca="1" si="5"/>
        <v>7</v>
      </c>
      <c r="L143" t="str">
        <f>VLOOKUP(E143,Lookup_Performance!$A:$D,3,TRUE)</f>
        <v>Developing</v>
      </c>
      <c r="M143" s="11">
        <f>H143*VLOOKUP(E143,Lookup_Performance!$A:$D,4,TRUE())</f>
        <v>2162.38</v>
      </c>
    </row>
    <row r="144" spans="1:13">
      <c r="A144" t="s">
        <v>185</v>
      </c>
      <c r="B144" t="s">
        <v>15</v>
      </c>
      <c r="C144" t="s">
        <v>47</v>
      </c>
      <c r="D144" s="4">
        <v>43887</v>
      </c>
      <c r="E144" s="8">
        <v>96</v>
      </c>
      <c r="F144" t="s">
        <v>7</v>
      </c>
      <c r="G144" t="s">
        <v>34</v>
      </c>
      <c r="H144" s="10">
        <v>80014</v>
      </c>
      <c r="I144" t="str">
        <f t="shared" si="4"/>
        <v>John Davis</v>
      </c>
      <c r="J144" t="str">
        <f>VLOOKUP(F144,Lookup_Departments!$A:$B,2,FALSE)</f>
        <v>Information Technology</v>
      </c>
      <c r="K144">
        <f t="shared" ca="1" si="5"/>
        <v>6</v>
      </c>
      <c r="L144" t="str">
        <f>VLOOKUP(E144,Lookup_Performance!$A:$D,3,TRUE)</f>
        <v>Outstanding</v>
      </c>
      <c r="M144" s="11">
        <f>H144*VLOOKUP(E144,Lookup_Performance!$A:$D,4,TRUE())</f>
        <v>9601.68</v>
      </c>
    </row>
    <row r="145" spans="1:13">
      <c r="A145" t="s">
        <v>186</v>
      </c>
      <c r="B145" t="s">
        <v>9</v>
      </c>
      <c r="C145" t="s">
        <v>47</v>
      </c>
      <c r="D145" s="4">
        <v>44991</v>
      </c>
      <c r="E145" s="8">
        <v>52</v>
      </c>
      <c r="F145" t="s">
        <v>70</v>
      </c>
      <c r="G145" t="s">
        <v>21</v>
      </c>
      <c r="H145" s="10">
        <v>106896</v>
      </c>
      <c r="I145" t="str">
        <f t="shared" si="4"/>
        <v>Richard Davis</v>
      </c>
      <c r="J145" t="str">
        <f>VLOOKUP(F145,Lookup_Departments!$A:$B,2,FALSE)</f>
        <v>Human Resources</v>
      </c>
      <c r="K145">
        <f t="shared" ca="1" si="5"/>
        <v>3</v>
      </c>
      <c r="L145" t="str">
        <f>VLOOKUP(E145,Lookup_Performance!$A:$D,3,TRUE)</f>
        <v>Developing</v>
      </c>
      <c r="M145" s="11">
        <f>H145*VLOOKUP(E145,Lookup_Performance!$A:$D,4,TRUE())</f>
        <v>2137.92</v>
      </c>
    </row>
    <row r="146" spans="1:13">
      <c r="A146" t="s">
        <v>187</v>
      </c>
      <c r="B146" t="s">
        <v>212</v>
      </c>
      <c r="C146" t="s">
        <v>44</v>
      </c>
      <c r="D146" s="4">
        <v>43477</v>
      </c>
      <c r="E146" s="8">
        <v>59</v>
      </c>
      <c r="F146" t="s">
        <v>7</v>
      </c>
      <c r="G146" t="s">
        <v>34</v>
      </c>
      <c r="H146" s="10">
        <v>112887</v>
      </c>
      <c r="I146" t="str">
        <f t="shared" si="4"/>
        <v>unknown Jones</v>
      </c>
      <c r="J146" t="str">
        <f>VLOOKUP(F146,Lookup_Departments!$A:$B,2,FALSE)</f>
        <v>Information Technology</v>
      </c>
      <c r="K146">
        <f t="shared" ca="1" si="5"/>
        <v>7</v>
      </c>
      <c r="L146" t="str">
        <f>VLOOKUP(E146,Lookup_Performance!$A:$D,3,TRUE)</f>
        <v>Developing</v>
      </c>
      <c r="M146" s="11">
        <f>H146*VLOOKUP(E146,Lookup_Performance!$A:$D,4,TRUE())</f>
        <v>2257.7400000000002</v>
      </c>
    </row>
    <row r="147" spans="1:13">
      <c r="A147" t="s">
        <v>188</v>
      </c>
      <c r="B147" t="s">
        <v>113</v>
      </c>
      <c r="C147" t="s">
        <v>30</v>
      </c>
      <c r="D147" s="4">
        <v>45037</v>
      </c>
      <c r="E147" s="8">
        <v>79</v>
      </c>
      <c r="F147" t="s">
        <v>17</v>
      </c>
      <c r="G147" t="s">
        <v>34</v>
      </c>
      <c r="H147" s="10">
        <v>85457</v>
      </c>
      <c r="I147" t="str">
        <f t="shared" si="4"/>
        <v>William Rodriguez</v>
      </c>
      <c r="J147" t="str">
        <f>VLOOKUP(F147,Lookup_Departments!$A:$B,2,FALSE)</f>
        <v>Finance</v>
      </c>
      <c r="K147">
        <f t="shared" ca="1" si="5"/>
        <v>3</v>
      </c>
      <c r="L147" t="str">
        <f>VLOOKUP(E147,Lookup_Performance!$A:$D,3,TRUE)</f>
        <v>Achieving</v>
      </c>
      <c r="M147" s="11">
        <f>H147*VLOOKUP(E147,Lookup_Performance!$A:$D,4,TRUE())</f>
        <v>4272.8500000000004</v>
      </c>
    </row>
    <row r="148" spans="1:13">
      <c r="A148" t="s">
        <v>189</v>
      </c>
      <c r="B148" t="s">
        <v>75</v>
      </c>
      <c r="C148" t="s">
        <v>36</v>
      </c>
      <c r="D148" s="4">
        <v>42519</v>
      </c>
      <c r="E148" s="8">
        <v>30</v>
      </c>
      <c r="F148" t="s">
        <v>33</v>
      </c>
      <c r="G148" t="s">
        <v>34</v>
      </c>
      <c r="H148" s="10">
        <v>62798</v>
      </c>
      <c r="I148" t="str">
        <f t="shared" si="4"/>
        <v>Melissa Miller</v>
      </c>
      <c r="J148" t="str">
        <f>VLOOKUP(F148,Lookup_Departments!$A:$B,2,FALSE)</f>
        <v>Sales</v>
      </c>
      <c r="K148">
        <f t="shared" ca="1" si="5"/>
        <v>10</v>
      </c>
      <c r="L148" t="str">
        <f>VLOOKUP(E148,Lookup_Performance!$A:$D,3,TRUE)</f>
        <v>Needs Improvement</v>
      </c>
      <c r="M148" s="11">
        <f>H148*VLOOKUP(E148,Lookup_Performance!$A:$D,4,TRUE())</f>
        <v>0</v>
      </c>
    </row>
    <row r="149" spans="1:13">
      <c r="A149" t="s">
        <v>190</v>
      </c>
      <c r="B149" t="s">
        <v>5</v>
      </c>
      <c r="C149" t="s">
        <v>16</v>
      </c>
      <c r="D149" s="4">
        <v>44711</v>
      </c>
      <c r="E149" s="8">
        <v>73</v>
      </c>
      <c r="F149" t="s">
        <v>24</v>
      </c>
      <c r="G149" t="s">
        <v>21</v>
      </c>
      <c r="H149" s="10">
        <v>47794</v>
      </c>
      <c r="I149" t="str">
        <f t="shared" si="4"/>
        <v>Emily Martinez</v>
      </c>
      <c r="J149" t="str">
        <f>VLOOKUP(F149,Lookup_Departments!$A:$B,2,FALSE)</f>
        <v>Operations</v>
      </c>
      <c r="K149">
        <f t="shared" ca="1" si="5"/>
        <v>4</v>
      </c>
      <c r="L149" t="str">
        <f>VLOOKUP(E149,Lookup_Performance!$A:$D,3,TRUE)</f>
        <v>Achieving</v>
      </c>
      <c r="M149" s="11">
        <f>H149*VLOOKUP(E149,Lookup_Performance!$A:$D,4,TRUE())</f>
        <v>2389.7000000000003</v>
      </c>
    </row>
    <row r="150" spans="1:13">
      <c r="A150" t="s">
        <v>191</v>
      </c>
      <c r="B150" t="s">
        <v>49</v>
      </c>
      <c r="C150" t="s">
        <v>30</v>
      </c>
      <c r="D150" s="4">
        <v>42677</v>
      </c>
      <c r="E150" s="8">
        <v>74</v>
      </c>
      <c r="F150" t="s">
        <v>11</v>
      </c>
      <c r="G150" t="s">
        <v>34</v>
      </c>
      <c r="H150" s="10">
        <v>93094</v>
      </c>
      <c r="I150" t="str">
        <f t="shared" si="4"/>
        <v>James Rodriguez</v>
      </c>
      <c r="J150" t="str">
        <f>VLOOKUP(F150,Lookup_Departments!$A:$B,2,FALSE)</f>
        <v>Marketing</v>
      </c>
      <c r="K150">
        <f t="shared" ca="1" si="5"/>
        <v>9</v>
      </c>
      <c r="L150" t="str">
        <f>VLOOKUP(E150,Lookup_Performance!$A:$D,3,TRUE)</f>
        <v>Achieving</v>
      </c>
      <c r="M150" s="11">
        <f>H150*VLOOKUP(E150,Lookup_Performance!$A:$D,4,TRUE())</f>
        <v>4654.7</v>
      </c>
    </row>
    <row r="151" spans="1:13">
      <c r="A151" t="s">
        <v>192</v>
      </c>
      <c r="B151" t="s">
        <v>54</v>
      </c>
      <c r="C151" t="s">
        <v>6</v>
      </c>
      <c r="D151" s="4">
        <v>44848</v>
      </c>
      <c r="E151" s="8">
        <v>91</v>
      </c>
      <c r="F151" t="s">
        <v>7</v>
      </c>
      <c r="G151" t="s">
        <v>34</v>
      </c>
      <c r="H151" s="10">
        <v>118634</v>
      </c>
      <c r="I151" t="str">
        <f t="shared" si="4"/>
        <v>Amanda Brown</v>
      </c>
      <c r="J151" t="str">
        <f>VLOOKUP(F151,Lookup_Departments!$A:$B,2,FALSE)</f>
        <v>Information Technology</v>
      </c>
      <c r="K151">
        <f t="shared" ca="1" si="5"/>
        <v>3</v>
      </c>
      <c r="L151" t="str">
        <f>VLOOKUP(E151,Lookup_Performance!$A:$D,3,TRUE)</f>
        <v>Exceeding</v>
      </c>
      <c r="M151" s="11">
        <f>H151*VLOOKUP(E151,Lookup_Performance!$A:$D,4,TRUE())</f>
        <v>9490.7199999999993</v>
      </c>
    </row>
    <row r="152" spans="1:13">
      <c r="E152" s="4"/>
      <c r="F152" s="4"/>
      <c r="G152" s="4"/>
      <c r="H152" s="4"/>
      <c r="I152" s="4"/>
      <c r="J152" s="4"/>
      <c r="K152" s="4"/>
      <c r="L152" s="4"/>
      <c r="M152" s="4"/>
    </row>
    <row r="153" spans="1:13">
      <c r="I153" t="str">
        <f t="shared" si="4"/>
        <v/>
      </c>
    </row>
    <row r="154" spans="1:13">
      <c r="I154" t="str">
        <f t="shared" si="4"/>
        <v/>
      </c>
    </row>
    <row r="155" spans="1:13">
      <c r="I155" t="str">
        <f t="shared" si="4"/>
        <v/>
      </c>
    </row>
  </sheetData>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4"/>
  <sheetData>
    <row r="1" spans="1:2">
      <c r="A1" s="1" t="s">
        <v>193</v>
      </c>
      <c r="B1" s="1" t="s">
        <v>194</v>
      </c>
    </row>
    <row r="2" spans="1:2">
      <c r="A2" t="s">
        <v>70</v>
      </c>
      <c r="B2" t="s">
        <v>195</v>
      </c>
    </row>
    <row r="3" spans="1:2">
      <c r="A3" t="s">
        <v>7</v>
      </c>
      <c r="B3" t="s">
        <v>196</v>
      </c>
    </row>
    <row r="4" spans="1:2">
      <c r="A4" t="s">
        <v>17</v>
      </c>
      <c r="B4" t="s">
        <v>197</v>
      </c>
    </row>
    <row r="5" spans="1:2">
      <c r="A5" t="s">
        <v>11</v>
      </c>
      <c r="B5" t="s">
        <v>198</v>
      </c>
    </row>
    <row r="6" spans="1:2">
      <c r="A6" t="s">
        <v>33</v>
      </c>
      <c r="B6" t="s">
        <v>199</v>
      </c>
    </row>
    <row r="7" spans="1:2">
      <c r="A7" t="s">
        <v>24</v>
      </c>
      <c r="B7" t="s">
        <v>200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L20" sqref="L20"/>
    </sheetView>
  </sheetViews>
  <sheetFormatPr defaultRowHeight="14.4"/>
  <cols>
    <col min="1" max="1" width="8.88671875" customWidth="1"/>
    <col min="2" max="2" width="28" customWidth="1"/>
    <col min="3" max="3" width="23.33203125" customWidth="1"/>
    <col min="4" max="4" width="23.77734375" customWidth="1"/>
  </cols>
  <sheetData>
    <row r="1" spans="1:4">
      <c r="A1" s="1" t="s">
        <v>201</v>
      </c>
      <c r="B1" s="1" t="s">
        <v>202</v>
      </c>
      <c r="C1" s="1" t="s">
        <v>203</v>
      </c>
      <c r="D1" s="1" t="s">
        <v>204</v>
      </c>
    </row>
    <row r="2" spans="1:4">
      <c r="A2">
        <v>0</v>
      </c>
      <c r="B2">
        <v>49</v>
      </c>
      <c r="C2" t="s">
        <v>205</v>
      </c>
      <c r="D2">
        <v>0</v>
      </c>
    </row>
    <row r="3" spans="1:4">
      <c r="A3">
        <v>50</v>
      </c>
      <c r="B3">
        <v>69</v>
      </c>
      <c r="C3" t="s">
        <v>206</v>
      </c>
      <c r="D3">
        <v>0.02</v>
      </c>
    </row>
    <row r="4" spans="1:4">
      <c r="A4">
        <v>70</v>
      </c>
      <c r="B4">
        <v>84</v>
      </c>
      <c r="C4" t="s">
        <v>207</v>
      </c>
      <c r="D4">
        <v>0.05</v>
      </c>
    </row>
    <row r="5" spans="1:4">
      <c r="A5">
        <v>85</v>
      </c>
      <c r="B5">
        <v>94</v>
      </c>
      <c r="C5" t="s">
        <v>208</v>
      </c>
      <c r="D5">
        <v>0.08</v>
      </c>
    </row>
    <row r="6" spans="1:4">
      <c r="A6">
        <v>95</v>
      </c>
      <c r="B6">
        <v>100</v>
      </c>
      <c r="C6" t="s">
        <v>209</v>
      </c>
      <c r="D6">
        <v>0.12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60A578-20F1-4430-938F-B5C10A17A6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Analysis</vt:lpstr>
      <vt:lpstr>HR DASHBOARD</vt:lpstr>
      <vt:lpstr>Raw_Employee_Data</vt:lpstr>
      <vt:lpstr>Lookup_Departments</vt:lpstr>
      <vt:lpstr>Lookup_Performance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Alaka Ibrahim</cp:lastModifiedBy>
  <dcterms:created xsi:type="dcterms:W3CDTF">2026-06-04T20:20:01Z</dcterms:created>
  <dcterms:modified xsi:type="dcterms:W3CDTF">2026-07-06T10:21:26Z</dcterms:modified>
</cp:coreProperties>
</file>